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🧮 CALCULADORA" sheetId="1" state="visible" r:id="rId3"/>
    <sheet name="🟢🟡🟣 STATUS ANALÍTIC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<sst xmlns="http://schemas.openxmlformats.org/spreadsheetml/2006/main" count="100" uniqueCount="94">
  <si>
    <t xml:space="preserve">🧮   CALCULADORA DE INDICADORES — REDE HOSPITAL CASA   |   Camada 1 – Descritivos</t>
  </si>
  <si>
    <t xml:space="preserve">  Mês / Ano de Referência:</t>
  </si>
  <si>
    <t xml:space="preserve">  ✏️  Células com borda azul = ENTRADA DE DADOS   |   Células sombreadas = RESULTADO CALCULADO   |   🟢 META ✓   ⚠️ ATENÇÃO   🔴 CRÍTICO   🔵 FORA DA META</t>
  </si>
  <si>
    <t xml:space="preserve">🔵  TAXA DE OCUPAÇÃO
= (Leitos Ocup. ÷ Leitos Disp.) × 100</t>
  </si>
  <si>
    <t xml:space="preserve">🔵  TEMPO MÉDIO DE PERMANÊNCIA (TMP)
= Σ Dias Internação ÷ Nº de Saídas</t>
  </si>
  <si>
    <t xml:space="preserve">🔵  INTERNAÇÕES
(contagem direta)</t>
  </si>
  <si>
    <t xml:space="preserve">🔵  CIRURGIAS
(contagem direta)</t>
  </si>
  <si>
    <t xml:space="preserve">🔵  MORTALIDADE
= (Óbitos ÷ Saídas*) × 100   *col. H</t>
  </si>
  <si>
    <t xml:space="preserve">🔵  REINTERNAÇÃO ≤ 30 dias
= (Reint. ÷ Saídas*) × 100   *col. H</t>
  </si>
  <si>
    <t xml:space="preserve">🔵  IRAS
= (Infecções ÷ Pacientes-dia) × 1.000   (‰)</t>
  </si>
  <si>
    <t xml:space="preserve">🔵  ABSENTEÍSMO
= (Horas Ausentes ÷ Horas Previstas) × 100</t>
  </si>
  <si>
    <t xml:space="preserve">🔵  EVENTOS
ADVERSOS
(notificações)</t>
  </si>
  <si>
    <t xml:space="preserve">#</t>
  </si>
  <si>
    <t xml:space="preserve">UNIDADE HOSPITALAR</t>
  </si>
  <si>
    <t xml:space="preserve">Leitos
Ocupados ✏️</t>
  </si>
  <si>
    <t xml:space="preserve">Leitos
Disponíveis ✏️</t>
  </si>
  <si>
    <t xml:space="preserve">Taxa
Ocup. (%)</t>
  </si>
  <si>
    <t xml:space="preserve">Status</t>
  </si>
  <si>
    <t xml:space="preserve">Σ Dias de
Internação ✏️</t>
  </si>
  <si>
    <t xml:space="preserve">Nº Saídas
(Altas+Óbitos) ✏️</t>
  </si>
  <si>
    <t xml:space="preserve">TMP
(dias)</t>
  </si>
  <si>
    <t xml:space="preserve">Nº de
Internações ✏️</t>
  </si>
  <si>
    <t xml:space="preserve">Nº de
Cirurgias ✏️</t>
  </si>
  <si>
    <t xml:space="preserve">Nº de
Óbitos ✏️</t>
  </si>
  <si>
    <t xml:space="preserve">Taxa
Mort. (%)</t>
  </si>
  <si>
    <t xml:space="preserve">Reinternações
≤ 30d ✏️</t>
  </si>
  <si>
    <t xml:space="preserve">Taxa
Reint. (%)</t>
  </si>
  <si>
    <t xml:space="preserve">Nº Infecções
Adquiridas ✏️</t>
  </si>
  <si>
    <t xml:space="preserve">Total
Pacientes-dia ✏️</t>
  </si>
  <si>
    <t xml:space="preserve">Taxa IRAS
(‰)</t>
  </si>
  <si>
    <t xml:space="preserve">Horas
Ausentes ✏️</t>
  </si>
  <si>
    <t xml:space="preserve">Horas
Previstas ✏️</t>
  </si>
  <si>
    <t xml:space="preserve">Taxa
Absent. (%)</t>
  </si>
  <si>
    <t xml:space="preserve">Nº Eventos
Adversos ✏️</t>
  </si>
  <si>
    <t xml:space="preserve">HCP — Hospital Casa de Portugal</t>
  </si>
  <si>
    <t xml:space="preserve">HCE — Hospital Casa Evangélico</t>
  </si>
  <si>
    <t xml:space="preserve">HCIG — Hospital Casa Ilha do Governador</t>
  </si>
  <si>
    <t xml:space="preserve">HCSB — Hospital Casa São Bernardo</t>
  </si>
  <si>
    <t xml:space="preserve">HCSC — Hospital Casa Santa Cruz</t>
  </si>
  <si>
    <t xml:space="preserve">HCRB — Hospital Casa Rio Botafogo</t>
  </si>
  <si>
    <t xml:space="preserve">HCRL — Hospital Casa Rio Laranjeiras</t>
  </si>
  <si>
    <t xml:space="preserve">HCM — Hospital Casa Mensana</t>
  </si>
  <si>
    <t xml:space="preserve">🏥  REDE CONSOLIDADA</t>
  </si>
  <si>
    <t xml:space="preserve">  REFERÊNCIA DE METAS</t>
  </si>
  <si>
    <t xml:space="preserve">  ✅  META</t>
  </si>
  <si>
    <t xml:space="preserve">85 – 90%</t>
  </si>
  <si>
    <t xml:space="preserve">≤ 5 dias</t>
  </si>
  <si>
    <t xml:space="preserve">&lt; 3%</t>
  </si>
  <si>
    <t xml:space="preserve">&lt; 10%</t>
  </si>
  <si>
    <t xml:space="preserve">&lt; 3‰</t>
  </si>
  <si>
    <t xml:space="preserve">  ⚠️  ATENÇÃO</t>
  </si>
  <si>
    <t xml:space="preserve">&lt; 70% ou &gt; 95%</t>
  </si>
  <si>
    <t xml:space="preserve">6 – 8 dias</t>
  </si>
  <si>
    <t xml:space="preserve">3 – 6%</t>
  </si>
  <si>
    <t xml:space="preserve">10 – 15%</t>
  </si>
  <si>
    <t xml:space="preserve">3 – 6‰</t>
  </si>
  <si>
    <t xml:space="preserve">3 – 5%</t>
  </si>
  <si>
    <t xml:space="preserve">  🔴  CRÍTICO</t>
  </si>
  <si>
    <t xml:space="preserve">&lt; 60%</t>
  </si>
  <si>
    <t xml:space="preserve">&gt; 8 dias</t>
  </si>
  <si>
    <t xml:space="preserve">&gt; 6%</t>
  </si>
  <si>
    <t xml:space="preserve">&gt; 15%</t>
  </si>
  <si>
    <t xml:space="preserve">&gt; 6‰</t>
  </si>
  <si>
    <t xml:space="preserve">&gt; 5%</t>
  </si>
  <si>
    <t xml:space="preserve">🟢🟡🟣   STATUS ANALÍTICO — DIAGNÓSTICO · PREDITIVOS · PRESCRITIVOS   |   REDE HOSPITAL CASA</t>
  </si>
  <si>
    <t xml:space="preserve">  Mês / Ano:</t>
  </si>
  <si>
    <t xml:space="preserve">  Use os menus suspensos (dropdown) em cada célula para registrar o status da unidade</t>
  </si>
  <si>
    <t xml:space="preserve">CAMPO</t>
  </si>
  <si>
    <t xml:space="preserve">1. HCP — Hospital Casa de Portugal</t>
  </si>
  <si>
    <t xml:space="preserve">2. HCE — Hospital Casa Evangélico</t>
  </si>
  <si>
    <t xml:space="preserve">3. HCIG — Hospital Casa Ilha do Governador</t>
  </si>
  <si>
    <t xml:space="preserve">4. HCSB — Hospital Casa São Bernardo</t>
  </si>
  <si>
    <t xml:space="preserve">5. HCSC — Hospital Casa Santa Cruz</t>
  </si>
  <si>
    <t xml:space="preserve">6. HCRB — Hospital Casa Rio Botafogo</t>
  </si>
  <si>
    <t xml:space="preserve">7. HCRL — Hospital Casa Rio Laranjeiras</t>
  </si>
  <si>
    <t xml:space="preserve">8. HCM — Hospital Casa Mensana</t>
  </si>
  <si>
    <t xml:space="preserve">  🟢 DIAGNÓSTICO</t>
  </si>
  <si>
    <t xml:space="preserve">Análise causas
reinternação</t>
  </si>
  <si>
    <t xml:space="preserve">Gargalos
no PA</t>
  </si>
  <si>
    <t xml:space="preserve">Desperdício
de materiais</t>
  </si>
  <si>
    <t xml:space="preserve">IRAS ×
Higiene das mãos</t>
  </si>
  <si>
    <t xml:space="preserve">  🟡 PREDITIVOS</t>
  </si>
  <si>
    <t xml:space="preserve">Previsão
ocupação 7d</t>
  </si>
  <si>
    <t xml:space="preserve">Score risco
reinternação</t>
  </si>
  <si>
    <t xml:space="preserve">Previsão
demanda PA</t>
  </si>
  <si>
    <t xml:space="preserve">Previsão
consumo insumos</t>
  </si>
  <si>
    <t xml:space="preserve">EWS –
deterioração clín.</t>
  </si>
  <si>
    <t xml:space="preserve">Predição
absenteísmo</t>
  </si>
  <si>
    <t xml:space="preserve">  🟣 PRESCRITIVOS</t>
  </si>
  <si>
    <t xml:space="preserve">Alocação
auto. leitos</t>
  </si>
  <si>
    <t xml:space="preserve">Recomendação
de escala</t>
  </si>
  <si>
    <t xml:space="preserve">Planejamento
auto. compras</t>
  </si>
  <si>
    <t xml:space="preserve">Protocolo
alta segura</t>
  </si>
  <si>
    <t xml:space="preserve">Ativação
TRR/EWS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</si>
</sst>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1"/>
      <color rgb="FF1E5FA8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A3A5C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1E5FA8"/>
      <name val="Arial"/>
      <family val="0"/>
      <charset val="1"/>
    </font>
    <font>
      <b val="true"/>
      <sz val="9"/>
      <color rgb="FF1A3A5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00000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D6E4F7"/>
        <bgColor rgb="FFD0E8F5"/>
      </patternFill>
    </fill>
    <fill>
      <patternFill patternType="solid">
        <fgColor rgb="FFFFFFFF"/>
        <bgColor rgb="FFFEFDE7"/>
      </patternFill>
    </fill>
    <fill>
      <patternFill patternType="solid">
        <fgColor rgb="FFF2F3F4"/>
        <bgColor rgb="FFF5EEF8"/>
      </patternFill>
    </fill>
    <fill>
      <patternFill patternType="solid">
        <fgColor rgb="FF1E5FA8"/>
        <bgColor rgb="FF1A6696"/>
      </patternFill>
    </fill>
    <fill>
      <patternFill patternType="solid">
        <fgColor rgb="FFEBF5FB"/>
        <bgColor rgb="FFF2F3F4"/>
      </patternFill>
    </fill>
    <fill>
      <patternFill patternType="solid">
        <fgColor rgb="FFD6EAF8"/>
        <bgColor rgb="FFD0E8F5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FFD4AC0D"/>
        <bgColor rgb="FFFFCC00"/>
      </patternFill>
    </fill>
    <fill>
      <patternFill patternType="solid">
        <fgColor rgb="FFFEF9E7"/>
        <bgColor rgb="FFFEFDE7"/>
      </patternFill>
    </fill>
    <fill>
      <patternFill patternType="solid">
        <fgColor rgb="FFE74C3C"/>
        <bgColor rgb="FFFF8080"/>
      </patternFill>
    </fill>
    <fill>
      <patternFill patternType="solid">
        <fgColor rgb="FFFADBD8"/>
        <bgColor rgb="FFF5EEF8"/>
      </patternFill>
    </fill>
    <fill>
      <patternFill patternType="solid">
        <fgColor rgb="FF145A32"/>
        <bgColor rgb="FF1A3A5C"/>
      </patternFill>
    </fill>
    <fill>
      <patternFill patternType="solid">
        <fgColor rgb="FFEAFAF1"/>
        <bgColor rgb="FFEBF5FB"/>
      </patternFill>
    </fill>
    <fill>
      <patternFill patternType="solid">
        <fgColor rgb="FF7D6608"/>
        <bgColor rgb="FF555555"/>
      </patternFill>
    </fill>
    <fill>
      <patternFill patternType="solid">
        <fgColor rgb="FFFEFDE7"/>
        <bgColor rgb="FFFEF9E7"/>
      </patternFill>
    </fill>
    <fill>
      <patternFill patternType="solid">
        <fgColor rgb="FF4A235A"/>
        <bgColor rgb="FF333399"/>
      </patternFill>
    </fill>
    <fill>
      <patternFill patternType="solid">
        <fgColor rgb="FFF5EEF8"/>
        <bgColor rgb="FFF2F3F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E5FA8"/>
      </left>
      <right/>
      <top style="medium">
        <color rgb="FF1E5FA8"/>
      </top>
      <bottom style="medium">
        <color rgb="FF1E5FA8"/>
      </bottom>
      <diagonal/>
    </border>
    <border diagonalUp="false" diagonalDown="false">
      <left style="thin">
        <color rgb="FFBFC9CA"/>
      </left>
      <right/>
      <top style="thin">
        <color rgb="FFBFC9CA"/>
      </top>
      <bottom style="thin">
        <color rgb="FFBFC9CA"/>
      </bottom>
      <diagonal/>
    </border>
    <border diagonalUp="false" diagonalDown="false"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 diagonalUp="false" diagonalDown="false">
      <left style="medium">
        <color rgb="FF1E5FA8"/>
      </left>
      <right style="medium">
        <color rgb="FF1E5FA8"/>
      </right>
      <top style="medium">
        <color rgb="FF1E5FA8"/>
      </top>
      <bottom style="medium">
        <color rgb="FF1E5FA8"/>
      </bottom>
      <diagonal/>
    </border>
    <border diagonalUp="false" diagonalDown="false">
      <left style="medium">
        <color rgb="FFBFC9CA"/>
      </left>
      <right style="medium">
        <color rgb="FFBFC9CA"/>
      </right>
      <top style="medium">
        <color rgb="FFBFC9CA"/>
      </top>
      <bottom style="medium">
        <color rgb="FFBFC9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922B21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7D6608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A6696"/>
        <sz val="9"/>
      </font>
      <fill>
        <patternFill>
          <bgColor rgb="FFD0E8F5"/>
        </patternFill>
      </fill>
    </dxf>
    <dxf>
      <font>
        <name val="Arial"/>
        <charset val="1"/>
        <family val="0"/>
        <b val="1"/>
        <color rgb="FF145A32"/>
        <sz val="9"/>
      </font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EF9E7"/>
        </patternFill>
      </fill>
    </dxf>
    <dxf>
      <fill>
        <patternFill>
          <bgColor rgb="FFD5F5E3"/>
        </patternFill>
      </fill>
    </dxf>
    <dxf>
      <font>
        <name val="Arial"/>
        <charset val="1"/>
        <family val="0"/>
        <b val="1"/>
        <color rgb="FF145A32"/>
        <sz val="8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7D6608"/>
        <sz val="8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922B21"/>
        <sz val="8"/>
      </font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1A6696"/>
      <rgbColor rgb="FFBFC9CA"/>
      <rgbColor rgb="FF808080"/>
      <rgbColor rgb="FFEBF5FB"/>
      <rgbColor rgb="FF993366"/>
      <rgbColor rgb="FFFEFDE7"/>
      <rgbColor rgb="FFD6EAF8"/>
      <rgbColor rgb="FF660066"/>
      <rgbColor rgb="FFFF8080"/>
      <rgbColor rgb="FF1E5FA8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EF9E7"/>
      <rgbColor rgb="FFD0E8F5"/>
      <rgbColor rgb="FFF5EEF8"/>
      <rgbColor rgb="FFF2F3F4"/>
      <rgbColor rgb="FFFADBD8"/>
      <rgbColor rgb="FF3366FF"/>
      <rgbColor rgb="FF33CCCC"/>
      <rgbColor rgb="FF99CC00"/>
      <rgbColor rgb="FFFFCC00"/>
      <rgbColor rgb="FFD4AC0D"/>
      <rgbColor rgb="FFE74C3C"/>
      <rgbColor rgb="FF555555"/>
      <rgbColor rgb="FF969696"/>
      <rgbColor rgb="FF1A3A5C"/>
      <rgbColor rgb="FF1E8449"/>
      <rgbColor rgb="FF003300"/>
      <rgbColor rgb="FF333300"/>
      <rgbColor rgb="FF922B21"/>
      <rgbColor rgb="FF993366"/>
      <rgbColor rgb="FF33339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11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5" min="24" style="0" width="13"/>
    <col collapsed="false" customWidth="true" hidden="false" outlineLevel="0" max="26" min="26" style="0" width="14"/>
    <col collapsed="false" customWidth="true" hidden="false" outlineLevel="0" max="27" min="27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21.75" hidden="false" customHeight="true" outlineLevel="0" collapsed="false">
      <c r="A2" s="2" t="s">
        <v>1</v>
      </c>
      <c r="B2" s="2"/>
      <c r="C2" s="3"/>
      <c r="D2" s="3"/>
      <c r="E2" s="4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43.5" hidden="false" customHeight="true" outlineLevel="0" collapsed="false">
      <c r="A3" s="5"/>
      <c r="B3" s="5"/>
      <c r="C3" s="6" t="s">
        <v>3</v>
      </c>
      <c r="D3" s="6"/>
      <c r="E3" s="6"/>
      <c r="F3" s="6"/>
      <c r="G3" s="6" t="s">
        <v>4</v>
      </c>
      <c r="H3" s="6"/>
      <c r="I3" s="6"/>
      <c r="J3" s="6"/>
      <c r="K3" s="7" t="s">
        <v>5</v>
      </c>
      <c r="L3" s="7" t="s">
        <v>6</v>
      </c>
      <c r="M3" s="6" t="s">
        <v>7</v>
      </c>
      <c r="N3" s="6"/>
      <c r="O3" s="6"/>
      <c r="P3" s="6" t="s">
        <v>8</v>
      </c>
      <c r="Q3" s="6"/>
      <c r="R3" s="6"/>
      <c r="S3" s="6" t="s">
        <v>9</v>
      </c>
      <c r="T3" s="6"/>
      <c r="U3" s="6"/>
      <c r="V3" s="6"/>
      <c r="W3" s="6" t="s">
        <v>10</v>
      </c>
      <c r="X3" s="6"/>
      <c r="Y3" s="6"/>
      <c r="Z3" s="6"/>
      <c r="AA3" s="7" t="s">
        <v>11</v>
      </c>
    </row>
    <row r="4" customFormat="false" ht="39.75" hidden="false" customHeight="true" outlineLevel="0" collapsed="false">
      <c r="A4" s="8" t="s">
        <v>12</v>
      </c>
      <c r="B4" s="8" t="s">
        <v>13</v>
      </c>
      <c r="C4" s="9" t="s">
        <v>14</v>
      </c>
      <c r="D4" s="9" t="s">
        <v>15</v>
      </c>
      <c r="E4" s="10" t="s">
        <v>16</v>
      </c>
      <c r="F4" s="11" t="s">
        <v>17</v>
      </c>
      <c r="G4" s="9" t="s">
        <v>18</v>
      </c>
      <c r="H4" s="9" t="s">
        <v>19</v>
      </c>
      <c r="I4" s="10" t="s">
        <v>20</v>
      </c>
      <c r="J4" s="11" t="s">
        <v>17</v>
      </c>
      <c r="K4" s="9" t="s">
        <v>21</v>
      </c>
      <c r="L4" s="9" t="s">
        <v>22</v>
      </c>
      <c r="M4" s="9" t="s">
        <v>23</v>
      </c>
      <c r="N4" s="10" t="s">
        <v>24</v>
      </c>
      <c r="O4" s="11" t="s">
        <v>17</v>
      </c>
      <c r="P4" s="9" t="s">
        <v>25</v>
      </c>
      <c r="Q4" s="10" t="s">
        <v>26</v>
      </c>
      <c r="R4" s="11" t="s">
        <v>17</v>
      </c>
      <c r="S4" s="9" t="s">
        <v>27</v>
      </c>
      <c r="T4" s="9" t="s">
        <v>28</v>
      </c>
      <c r="U4" s="10" t="s">
        <v>29</v>
      </c>
      <c r="V4" s="11" t="s">
        <v>17</v>
      </c>
      <c r="W4" s="9" t="s">
        <v>30</v>
      </c>
      <c r="X4" s="9" t="s">
        <v>31</v>
      </c>
      <c r="Y4" s="10" t="s">
        <v>32</v>
      </c>
      <c r="Z4" s="11" t="s">
        <v>17</v>
      </c>
      <c r="AA4" s="9" t="s">
        <v>33</v>
      </c>
    </row>
    <row r="5" customFormat="false" ht="27.75" hidden="false" customHeight="true" outlineLevel="0" collapsed="false">
      <c r="A5" s="12" t="n">
        <v>1</v>
      </c>
      <c r="B5" s="13" t="s">
        <v>34</v>
      </c>
      <c r="C5" s="14"/>
      <c r="D5" s="14"/>
      <c r="E5" s="15" t="str">
        <f aca="false">IFERROR(IF(AND(C5&lt;&gt;"",D5&lt;&gt;"",D5&lt;&gt;0),(C5/D5)*100,""),"")</f>
        <v/>
      </c>
      <c r="F5" s="16" t="str">
        <f aca="false">IF(E5="","",IF(E5&lt;60,"CRITICO",IF(OR(E5&lt;70,E5&gt;95),"ATENCAO",IF(AND(E5&gt;=85,E5&lt;=90),"META","FORA DA META"))))</f>
        <v/>
      </c>
      <c r="G5" s="14"/>
      <c r="H5" s="14"/>
      <c r="I5" s="15" t="str">
        <f aca="false">IFERROR(IF(AND(G5&lt;&gt;"",H5&lt;&gt;"",H5&lt;&gt;0),G5/H5,""),"")</f>
        <v/>
      </c>
      <c r="J5" s="16" t="str">
        <f aca="false">IF(I5="","",IF(I5&gt;8,"CRITICO",IF(I5&gt;5,"ATENCAO","META")))</f>
        <v/>
      </c>
      <c r="K5" s="14"/>
      <c r="L5" s="14"/>
      <c r="M5" s="14"/>
      <c r="N5" s="17" t="str">
        <f aca="false">IFERROR(IF(AND(M5&lt;&gt;"",H5&lt;&gt;"",H5&lt;&gt;0),(M5/H5)*100,""),"")</f>
        <v/>
      </c>
      <c r="O5" s="16" t="str">
        <f aca="false">IF(N5="","",IF(N5&gt;6,"CRITICO",IF(N5&gt;=3,"ATENCAO","META")))</f>
        <v/>
      </c>
      <c r="P5" s="14"/>
      <c r="Q5" s="15" t="str">
        <f aca="false">IFERROR(IF(AND(P5&lt;&gt;"",H5&lt;&gt;"",H5&lt;&gt;0),(P5/H5)*100,""),"")</f>
        <v/>
      </c>
      <c r="R5" s="16" t="str">
        <f aca="false">IF(Q5="","",IF(Q5&gt;15,"CRITICO",IF(Q5&gt;=10,"ATENCAO","META")))</f>
        <v/>
      </c>
      <c r="S5" s="14"/>
      <c r="T5" s="14"/>
      <c r="U5" s="17" t="str">
        <f aca="false">IFERROR(IF(AND(S5&lt;&gt;"",T5&lt;&gt;"",T5&lt;&gt;0),(S5/T5)*1000,""),"")</f>
        <v/>
      </c>
      <c r="V5" s="16" t="str">
        <f aca="false">IF(U5="","",IF(U5&gt;6,"CRITICO",IF(U5&gt;=3,"ATENCAO","META")))</f>
        <v/>
      </c>
      <c r="W5" s="14"/>
      <c r="X5" s="14"/>
      <c r="Y5" s="15" t="str">
        <f aca="false">IFERROR(IF(AND(W5&lt;&gt;"",X5&lt;&gt;"",X5&lt;&gt;0),(W5/X5)*100,""),"")</f>
        <v/>
      </c>
      <c r="Z5" s="16" t="str">
        <f aca="false">IF(Y5="","",IF(Y5&gt;5,"CRITICO",IF(Y5&gt;=3,"ATENCAO","META")))</f>
        <v/>
      </c>
      <c r="AA5" s="14"/>
    </row>
    <row r="6" customFormat="false" ht="27.75" hidden="false" customHeight="true" outlineLevel="0" collapsed="false">
      <c r="A6" s="12" t="n">
        <v>2</v>
      </c>
      <c r="B6" s="13" t="s">
        <v>35</v>
      </c>
      <c r="C6" s="14"/>
      <c r="D6" s="14"/>
      <c r="E6" s="15" t="str">
        <f aca="false">IFERROR(IF(AND(C6&lt;&gt;"",D6&lt;&gt;"",D6&lt;&gt;0),(C6/D6)*100,""),"")</f>
        <v/>
      </c>
      <c r="F6" s="16" t="str">
        <f aca="false">IF(E6="","",IF(E6&lt;60,"CRITICO",IF(OR(E6&lt;70,E6&gt;95),"ATENCAO",IF(AND(E6&gt;=85,E6&lt;=90),"META","FORA DA META"))))</f>
        <v/>
      </c>
      <c r="G6" s="14"/>
      <c r="H6" s="14"/>
      <c r="I6" s="15" t="str">
        <f aca="false">IFERROR(IF(AND(G6&lt;&gt;"",H6&lt;&gt;"",H6&lt;&gt;0),G6/H6,""),"")</f>
        <v/>
      </c>
      <c r="J6" s="16" t="str">
        <f aca="false">IF(I6="","",IF(I6&gt;8,"CRITICO",IF(I6&gt;5,"ATENCAO","META")))</f>
        <v/>
      </c>
      <c r="K6" s="14"/>
      <c r="L6" s="14"/>
      <c r="M6" s="14"/>
      <c r="N6" s="17" t="str">
        <f aca="false">IFERROR(IF(AND(M6&lt;&gt;"",H6&lt;&gt;"",H6&lt;&gt;0),(M6/H6)*100,""),"")</f>
        <v/>
      </c>
      <c r="O6" s="16" t="str">
        <f aca="false">IF(N6="","",IF(N6&gt;6,"CRITICO",IF(N6&gt;=3,"ATENCAO","META")))</f>
        <v/>
      </c>
      <c r="P6" s="14"/>
      <c r="Q6" s="15" t="str">
        <f aca="false">IFERROR(IF(AND(P6&lt;&gt;"",H6&lt;&gt;"",H6&lt;&gt;0),(P6/H6)*100,""),"")</f>
        <v/>
      </c>
      <c r="R6" s="16" t="str">
        <f aca="false">IF(Q6="","",IF(Q6&gt;15,"CRITICO",IF(Q6&gt;=10,"ATENCAO","META")))</f>
        <v/>
      </c>
      <c r="S6" s="14"/>
      <c r="T6" s="14"/>
      <c r="U6" s="17" t="str">
        <f aca="false">IFERROR(IF(AND(S6&lt;&gt;"",T6&lt;&gt;"",T6&lt;&gt;0),(S6/T6)*1000,""),"")</f>
        <v/>
      </c>
      <c r="V6" s="16" t="str">
        <f aca="false">IF(U6="","",IF(U6&gt;6,"CRITICO",IF(U6&gt;=3,"ATENCAO","META")))</f>
        <v/>
      </c>
      <c r="W6" s="14"/>
      <c r="X6" s="14"/>
      <c r="Y6" s="15" t="str">
        <f aca="false">IFERROR(IF(AND(W6&lt;&gt;"",X6&lt;&gt;"",X6&lt;&gt;0),(W6/X6)*100,""),"")</f>
        <v/>
      </c>
      <c r="Z6" s="16" t="str">
        <f aca="false">IF(Y6="","",IF(Y6&gt;5,"CRITICO",IF(Y6&gt;=3,"ATENCAO","META")))</f>
        <v/>
      </c>
      <c r="AA6" s="14"/>
    </row>
    <row r="7" customFormat="false" ht="27.75" hidden="false" customHeight="true" outlineLevel="0" collapsed="false">
      <c r="A7" s="12" t="n">
        <v>3</v>
      </c>
      <c r="B7" s="13" t="s">
        <v>36</v>
      </c>
      <c r="C7" s="14"/>
      <c r="D7" s="14"/>
      <c r="E7" s="15" t="str">
        <f aca="false">IFERROR(IF(AND(C7&lt;&gt;"",D7&lt;&gt;"",D7&lt;&gt;0),(C7/D7)*100,""),"")</f>
        <v/>
      </c>
      <c r="F7" s="16" t="str">
        <f aca="false">IF(E7="","",IF(E7&lt;60,"CRITICO",IF(OR(E7&lt;70,E7&gt;95),"ATENCAO",IF(AND(E7&gt;=85,E7&lt;=90),"META","FORA DA META"))))</f>
        <v/>
      </c>
      <c r="G7" s="14"/>
      <c r="H7" s="14"/>
      <c r="I7" s="15" t="str">
        <f aca="false">IFERROR(IF(AND(G7&lt;&gt;"",H7&lt;&gt;"",H7&lt;&gt;0),G7/H7,""),"")</f>
        <v/>
      </c>
      <c r="J7" s="16" t="str">
        <f aca="false">IF(I7="","",IF(I7&gt;8,"CRITICO",IF(I7&gt;5,"ATENCAO","META")))</f>
        <v/>
      </c>
      <c r="K7" s="14"/>
      <c r="L7" s="14"/>
      <c r="M7" s="14"/>
      <c r="N7" s="17" t="str">
        <f aca="false">IFERROR(IF(AND(M7&lt;&gt;"",H7&lt;&gt;"",H7&lt;&gt;0),(M7/H7)*100,""),"")</f>
        <v/>
      </c>
      <c r="O7" s="16" t="str">
        <f aca="false">IF(N7="","",IF(N7&gt;6,"CRITICO",IF(N7&gt;=3,"ATENCAO","META")))</f>
        <v/>
      </c>
      <c r="P7" s="14"/>
      <c r="Q7" s="15" t="str">
        <f aca="false">IFERROR(IF(AND(P7&lt;&gt;"",H7&lt;&gt;"",H7&lt;&gt;0),(P7/H7)*100,""),"")</f>
        <v/>
      </c>
      <c r="R7" s="16" t="str">
        <f aca="false">IF(Q7="","",IF(Q7&gt;15,"CRITICO",IF(Q7&gt;=10,"ATENCAO","META")))</f>
        <v/>
      </c>
      <c r="S7" s="14"/>
      <c r="T7" s="14"/>
      <c r="U7" s="17" t="str">
        <f aca="false">IFERROR(IF(AND(S7&lt;&gt;"",T7&lt;&gt;"",T7&lt;&gt;0),(S7/T7)*1000,""),"")</f>
        <v/>
      </c>
      <c r="V7" s="16" t="str">
        <f aca="false">IF(U7="","",IF(U7&gt;6,"CRITICO",IF(U7&gt;=3,"ATENCAO","META")))</f>
        <v/>
      </c>
      <c r="W7" s="14"/>
      <c r="X7" s="14"/>
      <c r="Y7" s="15" t="str">
        <f aca="false">IFERROR(IF(AND(W7&lt;&gt;"",X7&lt;&gt;"",X7&lt;&gt;0),(W7/X7)*100,""),"")</f>
        <v/>
      </c>
      <c r="Z7" s="16" t="str">
        <f aca="false">IF(Y7="","",IF(Y7&gt;5,"CRITICO",IF(Y7&gt;=3,"ATENCAO","META")))</f>
        <v/>
      </c>
      <c r="AA7" s="14"/>
    </row>
    <row r="8" customFormat="false" ht="27.75" hidden="false" customHeight="true" outlineLevel="0" collapsed="false">
      <c r="A8" s="12" t="n">
        <v>4</v>
      </c>
      <c r="B8" s="13" t="s">
        <v>37</v>
      </c>
      <c r="C8" s="14"/>
      <c r="D8" s="14"/>
      <c r="E8" s="15" t="str">
        <f aca="false">IFERROR(IF(AND(C8&lt;&gt;"",D8&lt;&gt;"",D8&lt;&gt;0),(C8/D8)*100,""),"")</f>
        <v/>
      </c>
      <c r="F8" s="16" t="str">
        <f aca="false">IF(E8="","",IF(E8&lt;60,"CRITICO",IF(OR(E8&lt;70,E8&gt;95),"ATENCAO",IF(AND(E8&gt;=85,E8&lt;=90),"META","FORA DA META"))))</f>
        <v/>
      </c>
      <c r="G8" s="14"/>
      <c r="H8" s="14"/>
      <c r="I8" s="15" t="str">
        <f aca="false">IFERROR(IF(AND(G8&lt;&gt;"",H8&lt;&gt;"",H8&lt;&gt;0),G8/H8,""),"")</f>
        <v/>
      </c>
      <c r="J8" s="16" t="str">
        <f aca="false">IF(I8="","",IF(I8&gt;8,"CRITICO",IF(I8&gt;5,"ATENCAO","META")))</f>
        <v/>
      </c>
      <c r="K8" s="14"/>
      <c r="L8" s="14"/>
      <c r="M8" s="14"/>
      <c r="N8" s="17" t="str">
        <f aca="false">IFERROR(IF(AND(M8&lt;&gt;"",H8&lt;&gt;"",H8&lt;&gt;0),(M8/H8)*100,""),"")</f>
        <v/>
      </c>
      <c r="O8" s="16" t="str">
        <f aca="false">IF(N8="","",IF(N8&gt;6,"CRITICO",IF(N8&gt;=3,"ATENCAO","META")))</f>
        <v/>
      </c>
      <c r="P8" s="14"/>
      <c r="Q8" s="15" t="str">
        <f aca="false">IFERROR(IF(AND(P8&lt;&gt;"",H8&lt;&gt;"",H8&lt;&gt;0),(P8/H8)*100,""),"")</f>
        <v/>
      </c>
      <c r="R8" s="16" t="str">
        <f aca="false">IF(Q8="","",IF(Q8&gt;15,"CRITICO",IF(Q8&gt;=10,"ATENCAO","META")))</f>
        <v/>
      </c>
      <c r="S8" s="14"/>
      <c r="T8" s="14"/>
      <c r="U8" s="17" t="str">
        <f aca="false">IFERROR(IF(AND(S8&lt;&gt;"",T8&lt;&gt;"",T8&lt;&gt;0),(S8/T8)*1000,""),"")</f>
        <v/>
      </c>
      <c r="V8" s="16" t="str">
        <f aca="false">IF(U8="","",IF(U8&gt;6,"CRITICO",IF(U8&gt;=3,"ATENCAO","META")))</f>
        <v/>
      </c>
      <c r="W8" s="14"/>
      <c r="X8" s="14"/>
      <c r="Y8" s="15" t="str">
        <f aca="false">IFERROR(IF(AND(W8&lt;&gt;"",X8&lt;&gt;"",X8&lt;&gt;0),(W8/X8)*100,""),"")</f>
        <v/>
      </c>
      <c r="Z8" s="16" t="str">
        <f aca="false">IF(Y8="","",IF(Y8&gt;5,"CRITICO",IF(Y8&gt;=3,"ATENCAO","META")))</f>
        <v/>
      </c>
      <c r="AA8" s="14"/>
    </row>
    <row r="9" customFormat="false" ht="27.75" hidden="false" customHeight="true" outlineLevel="0" collapsed="false">
      <c r="A9" s="12" t="n">
        <v>5</v>
      </c>
      <c r="B9" s="13" t="s">
        <v>38</v>
      </c>
      <c r="C9" s="14"/>
      <c r="D9" s="14"/>
      <c r="E9" s="15" t="str">
        <f aca="false">IFERROR(IF(AND(C9&lt;&gt;"",D9&lt;&gt;"",D9&lt;&gt;0),(C9/D9)*100,""),"")</f>
        <v/>
      </c>
      <c r="F9" s="16" t="str">
        <f aca="false">IF(E9="","",IF(E9&lt;60,"CRITICO",IF(OR(E9&lt;70,E9&gt;95),"ATENCAO",IF(AND(E9&gt;=85,E9&lt;=90),"META","FORA DA META"))))</f>
        <v/>
      </c>
      <c r="G9" s="14"/>
      <c r="H9" s="14"/>
      <c r="I9" s="15" t="str">
        <f aca="false">IFERROR(IF(AND(G9&lt;&gt;"",H9&lt;&gt;"",H9&lt;&gt;0),G9/H9,""),"")</f>
        <v/>
      </c>
      <c r="J9" s="16" t="str">
        <f aca="false">IF(I9="","",IF(I9&gt;8,"CRITICO",IF(I9&gt;5,"ATENCAO","META")))</f>
        <v/>
      </c>
      <c r="K9" s="14"/>
      <c r="L9" s="14"/>
      <c r="M9" s="14"/>
      <c r="N9" s="17" t="str">
        <f aca="false">IFERROR(IF(AND(M9&lt;&gt;"",H9&lt;&gt;"",H9&lt;&gt;0),(M9/H9)*100,""),"")</f>
        <v/>
      </c>
      <c r="O9" s="16" t="str">
        <f aca="false">IF(N9="","",IF(N9&gt;6,"CRITICO",IF(N9&gt;=3,"ATENCAO","META")))</f>
        <v/>
      </c>
      <c r="P9" s="14"/>
      <c r="Q9" s="15" t="str">
        <f aca="false">IFERROR(IF(AND(P9&lt;&gt;"",H9&lt;&gt;"",H9&lt;&gt;0),(P9/H9)*100,""),"")</f>
        <v/>
      </c>
      <c r="R9" s="16" t="str">
        <f aca="false">IF(Q9="","",IF(Q9&gt;15,"CRITICO",IF(Q9&gt;=10,"ATENCAO","META")))</f>
        <v/>
      </c>
      <c r="S9" s="14"/>
      <c r="T9" s="14"/>
      <c r="U9" s="17" t="str">
        <f aca="false">IFERROR(IF(AND(S9&lt;&gt;"",T9&lt;&gt;"",T9&lt;&gt;0),(S9/T9)*1000,""),"")</f>
        <v/>
      </c>
      <c r="V9" s="16" t="str">
        <f aca="false">IF(U9="","",IF(U9&gt;6,"CRITICO",IF(U9&gt;=3,"ATENCAO","META")))</f>
        <v/>
      </c>
      <c r="W9" s="14"/>
      <c r="X9" s="14"/>
      <c r="Y9" s="15" t="str">
        <f aca="false">IFERROR(IF(AND(W9&lt;&gt;"",X9&lt;&gt;"",X9&lt;&gt;0),(W9/X9)*100,""),"")</f>
        <v/>
      </c>
      <c r="Z9" s="16" t="str">
        <f aca="false">IF(Y9="","",IF(Y9&gt;5,"CRITICO",IF(Y9&gt;=3,"ATENCAO","META")))</f>
        <v/>
      </c>
      <c r="AA9" s="14"/>
    </row>
    <row r="10" customFormat="false" ht="27.75" hidden="false" customHeight="true" outlineLevel="0" collapsed="false">
      <c r="A10" s="12" t="n">
        <v>6</v>
      </c>
      <c r="B10" s="13" t="s">
        <v>39</v>
      </c>
      <c r="C10" s="14"/>
      <c r="D10" s="14"/>
      <c r="E10" s="15" t="str">
        <f aca="false">IFERROR(IF(AND(C10&lt;&gt;"",D10&lt;&gt;"",D10&lt;&gt;0),(C10/D10)*100,""),"")</f>
        <v/>
      </c>
      <c r="F10" s="16" t="str">
        <f aca="false">IF(E10="","",IF(E10&lt;60,"CRITICO",IF(OR(E10&lt;70,E10&gt;95),"ATENCAO",IF(AND(E10&gt;=85,E10&lt;=90),"META","FORA DA META"))))</f>
        <v/>
      </c>
      <c r="G10" s="14"/>
      <c r="H10" s="14"/>
      <c r="I10" s="15" t="str">
        <f aca="false">IFERROR(IF(AND(G10&lt;&gt;"",H10&lt;&gt;"",H10&lt;&gt;0),G10/H10,""),"")</f>
        <v/>
      </c>
      <c r="J10" s="16" t="str">
        <f aca="false">IF(I10="","",IF(I10&gt;8,"CRITICO",IF(I10&gt;5,"ATENCAO","META")))</f>
        <v/>
      </c>
      <c r="K10" s="14"/>
      <c r="L10" s="14"/>
      <c r="M10" s="14"/>
      <c r="N10" s="17" t="str">
        <f aca="false">IFERROR(IF(AND(M10&lt;&gt;"",H10&lt;&gt;"",H10&lt;&gt;0),(M10/H10)*100,""),"")</f>
        <v/>
      </c>
      <c r="O10" s="16" t="str">
        <f aca="false">IF(N10="","",IF(N10&gt;6,"CRITICO",IF(N10&gt;=3,"ATENCAO","META")))</f>
        <v/>
      </c>
      <c r="P10" s="14"/>
      <c r="Q10" s="15" t="str">
        <f aca="false">IFERROR(IF(AND(P10&lt;&gt;"",H10&lt;&gt;"",H10&lt;&gt;0),(P10/H10)*100,""),"")</f>
        <v/>
      </c>
      <c r="R10" s="16" t="str">
        <f aca="false">IF(Q10="","",IF(Q10&gt;15,"CRITICO",IF(Q10&gt;=10,"ATENCAO","META")))</f>
        <v/>
      </c>
      <c r="S10" s="14"/>
      <c r="T10" s="14"/>
      <c r="U10" s="17" t="str">
        <f aca="false">IFERROR(IF(AND(S10&lt;&gt;"",T10&lt;&gt;"",T10&lt;&gt;0),(S10/T10)*1000,""),"")</f>
        <v/>
      </c>
      <c r="V10" s="16" t="str">
        <f aca="false">IF(U10="","",IF(U10&gt;6,"CRITICO",IF(U10&gt;=3,"ATENCAO","META")))</f>
        <v/>
      </c>
      <c r="W10" s="14"/>
      <c r="X10" s="14"/>
      <c r="Y10" s="15" t="str">
        <f aca="false">IFERROR(IF(AND(W10&lt;&gt;"",X10&lt;&gt;"",X10&lt;&gt;0),(W10/X10)*100,""),"")</f>
        <v/>
      </c>
      <c r="Z10" s="16" t="str">
        <f aca="false">IF(Y10="","",IF(Y10&gt;5,"CRITICO",IF(Y10&gt;=3,"ATENCAO","META")))</f>
        <v/>
      </c>
      <c r="AA10" s="14"/>
    </row>
    <row r="11" customFormat="false" ht="27.75" hidden="false" customHeight="true" outlineLevel="0" collapsed="false">
      <c r="A11" s="12" t="n">
        <v>7</v>
      </c>
      <c r="B11" s="13" t="s">
        <v>40</v>
      </c>
      <c r="C11" s="14"/>
      <c r="D11" s="14"/>
      <c r="E11" s="15" t="str">
        <f aca="false">IFERROR(IF(AND(C11&lt;&gt;"",D11&lt;&gt;"",D11&lt;&gt;0),(C11/D11)*100,""),"")</f>
        <v/>
      </c>
      <c r="F11" s="16" t="str">
        <f aca="false">IF(E11="","",IF(E11&lt;60,"CRITICO",IF(OR(E11&lt;70,E11&gt;95),"ATENCAO",IF(AND(E11&gt;=85,E11&lt;=90),"META","FORA DA META"))))</f>
        <v/>
      </c>
      <c r="G11" s="14"/>
      <c r="H11" s="14"/>
      <c r="I11" s="15" t="str">
        <f aca="false">IFERROR(IF(AND(G11&lt;&gt;"",H11&lt;&gt;"",H11&lt;&gt;0),G11/H11,""),"")</f>
        <v/>
      </c>
      <c r="J11" s="16" t="str">
        <f aca="false">IF(I11="","",IF(I11&gt;8,"CRITICO",IF(I11&gt;5,"ATENCAO","META")))</f>
        <v/>
      </c>
      <c r="K11" s="14"/>
      <c r="L11" s="14"/>
      <c r="M11" s="14"/>
      <c r="N11" s="17" t="str">
        <f aca="false">IFERROR(IF(AND(M11&lt;&gt;"",H11&lt;&gt;"",H11&lt;&gt;0),(M11/H11)*100,""),"")</f>
        <v/>
      </c>
      <c r="O11" s="16" t="str">
        <f aca="false">IF(N11="","",IF(N11&gt;6,"CRITICO",IF(N11&gt;=3,"ATENCAO","META")))</f>
        <v/>
      </c>
      <c r="P11" s="14"/>
      <c r="Q11" s="15" t="str">
        <f aca="false">IFERROR(IF(AND(P11&lt;&gt;"",H11&lt;&gt;"",H11&lt;&gt;0),(P11/H11)*100,""),"")</f>
        <v/>
      </c>
      <c r="R11" s="16" t="str">
        <f aca="false">IF(Q11="","",IF(Q11&gt;15,"CRITICO",IF(Q11&gt;=10,"ATENCAO","META")))</f>
        <v/>
      </c>
      <c r="S11" s="14"/>
      <c r="T11" s="14"/>
      <c r="U11" s="17" t="str">
        <f aca="false">IFERROR(IF(AND(S11&lt;&gt;"",T11&lt;&gt;"",T11&lt;&gt;0),(S11/T11)*1000,""),"")</f>
        <v/>
      </c>
      <c r="V11" s="16" t="str">
        <f aca="false">IF(U11="","",IF(U11&gt;6,"CRITICO",IF(U11&gt;=3,"ATENCAO","META")))</f>
        <v/>
      </c>
      <c r="W11" s="14"/>
      <c r="X11" s="14"/>
      <c r="Y11" s="15" t="str">
        <f aca="false">IFERROR(IF(AND(W11&lt;&gt;"",X11&lt;&gt;"",X11&lt;&gt;0),(W11/X11)*100,""),"")</f>
        <v/>
      </c>
      <c r="Z11" s="16" t="str">
        <f aca="false">IF(Y11="","",IF(Y11&gt;5,"CRITICO",IF(Y11&gt;=3,"ATENCAO","META")))</f>
        <v/>
      </c>
      <c r="AA11" s="14"/>
    </row>
    <row r="12" customFormat="false" ht="27.75" hidden="false" customHeight="true" outlineLevel="0" collapsed="false">
      <c r="A12" s="12" t="n">
        <v>8</v>
      </c>
      <c r="B12" s="13" t="s">
        <v>41</v>
      </c>
      <c r="C12" s="14"/>
      <c r="D12" s="14"/>
      <c r="E12" s="15" t="str">
        <f aca="false">IFERROR(IF(AND(C12&lt;&gt;"",D12&lt;&gt;"",D12&lt;&gt;0),(C12/D12)*100,""),"")</f>
        <v/>
      </c>
      <c r="F12" s="16" t="str">
        <f aca="false">IF(E12="","",IF(E12&lt;60,"CRITICO",IF(OR(E12&lt;70,E12&gt;95),"ATENCAO",IF(AND(E12&gt;=85,E12&lt;=90),"META","FORA DA META"))))</f>
        <v/>
      </c>
      <c r="G12" s="14"/>
      <c r="H12" s="14"/>
      <c r="I12" s="15" t="str">
        <f aca="false">IFERROR(IF(AND(G12&lt;&gt;"",H12&lt;&gt;"",H12&lt;&gt;0),G12/H12,""),"")</f>
        <v/>
      </c>
      <c r="J12" s="16" t="str">
        <f aca="false">IF(I12="","",IF(I12&gt;8,"CRITICO",IF(I12&gt;5,"ATENCAO","META")))</f>
        <v/>
      </c>
      <c r="K12" s="14"/>
      <c r="L12" s="14"/>
      <c r="M12" s="14"/>
      <c r="N12" s="17" t="str">
        <f aca="false">IFERROR(IF(AND(M12&lt;&gt;"",H12&lt;&gt;"",H12&lt;&gt;0),(M12/H12)*100,""),"")</f>
        <v/>
      </c>
      <c r="O12" s="16" t="str">
        <f aca="false">IF(N12="","",IF(N12&gt;6,"CRITICO",IF(N12&gt;=3,"ATENCAO","META")))</f>
        <v/>
      </c>
      <c r="P12" s="14"/>
      <c r="Q12" s="15" t="str">
        <f aca="false">IFERROR(IF(AND(P12&lt;&gt;"",H12&lt;&gt;"",H12&lt;&gt;0),(P12/H12)*100,""),"")</f>
        <v/>
      </c>
      <c r="R12" s="16" t="str">
        <f aca="false">IF(Q12="","",IF(Q12&gt;15,"CRITICO",IF(Q12&gt;=10,"ATENCAO","META")))</f>
        <v/>
      </c>
      <c r="S12" s="14"/>
      <c r="T12" s="14"/>
      <c r="U12" s="17" t="str">
        <f aca="false">IFERROR(IF(AND(S12&lt;&gt;"",T12&lt;&gt;"",T12&lt;&gt;0),(S12/T12)*1000,""),"")</f>
        <v/>
      </c>
      <c r="V12" s="16" t="str">
        <f aca="false">IF(U12="","",IF(U12&gt;6,"CRITICO",IF(U12&gt;=3,"ATENCAO","META")))</f>
        <v/>
      </c>
      <c r="W12" s="14"/>
      <c r="X12" s="14"/>
      <c r="Y12" s="15" t="str">
        <f aca="false">IFERROR(IF(AND(W12&lt;&gt;"",X12&lt;&gt;"",X12&lt;&gt;0),(W12/X12)*100,""),"")</f>
        <v/>
      </c>
      <c r="Z12" s="16" t="str">
        <f aca="false">IF(Y12="","",IF(Y12&gt;5,"CRITICO",IF(Y12&gt;=3,"ATENCAO","META")))</f>
        <v/>
      </c>
      <c r="AA12" s="14"/>
    </row>
    <row r="13" customFormat="false" ht="30" hidden="false" customHeight="true" outlineLevel="0" collapsed="false">
      <c r="A13" s="18" t="s">
        <v>42</v>
      </c>
      <c r="B13" s="18"/>
      <c r="C13" s="19" t="n">
        <f aca="false">SUM(C5:C12)</f>
        <v>0</v>
      </c>
      <c r="D13" s="19" t="n">
        <f aca="false">SUM(D5:D12)</f>
        <v>0</v>
      </c>
      <c r="E13" s="20" t="str">
        <f aca="false">IFERROR(SUM(C5:C12)/SUM(D5:D12)*100,"")</f>
        <v/>
      </c>
      <c r="F13" s="21" t="str">
        <f aca="false">IF(E13="","",IF(E13&lt;60,"CRITICO",IF(OR(E13&lt;70,E13&gt;95),"ATENCAO",IF(AND(E13&gt;=85,E13&lt;=90),"META","FORA DA META"))))</f>
        <v/>
      </c>
      <c r="G13" s="19" t="n">
        <f aca="false">SUM(G5:G12)</f>
        <v>0</v>
      </c>
      <c r="H13" s="19" t="n">
        <f aca="false">SUM(H5:H12)</f>
        <v>0</v>
      </c>
      <c r="I13" s="20" t="str">
        <f aca="false">IFERROR(SUM(G5:G12)/SUM(H5:H12),"")</f>
        <v/>
      </c>
      <c r="J13" s="21" t="str">
        <f aca="false">IF(I13="","",IF(I13&gt;8,"CRITICO",IF(I13&gt;5,"ATENCAO","META")))</f>
        <v/>
      </c>
      <c r="K13" s="19" t="n">
        <f aca="false">SUM(K5:K12)</f>
        <v>0</v>
      </c>
      <c r="L13" s="19" t="n">
        <f aca="false">SUM(L5:L12)</f>
        <v>0</v>
      </c>
      <c r="M13" s="19" t="n">
        <f aca="false">SUM(M5:M12)</f>
        <v>0</v>
      </c>
      <c r="N13" s="22" t="str">
        <f aca="false">IFERROR(SUM(M5:M12)/SUM(H5:H12)*100,"")</f>
        <v/>
      </c>
      <c r="O13" s="21" t="str">
        <f aca="false">IF(N13="","",IF(N13&gt;6,"CRITICO",IF(N13&gt;=3,"ATENCAO","META")))</f>
        <v/>
      </c>
      <c r="P13" s="19" t="n">
        <f aca="false">SUM(P5:P12)</f>
        <v>0</v>
      </c>
      <c r="Q13" s="20" t="str">
        <f aca="false">IFERROR(SUM(P5:P12)/SUM(H5:H12)*100,"")</f>
        <v/>
      </c>
      <c r="R13" s="21" t="str">
        <f aca="false">IF(Q13="","",IF(Q13&gt;15,"CRITICO",IF(Q13&gt;=10,"ATENCAO","META")))</f>
        <v/>
      </c>
      <c r="S13" s="19" t="n">
        <f aca="false">SUM(S5:S12)</f>
        <v>0</v>
      </c>
      <c r="T13" s="19" t="n">
        <f aca="false">SUM(T5:T12)</f>
        <v>0</v>
      </c>
      <c r="U13" s="22" t="str">
        <f aca="false">IFERROR(SUM(S5:S12)/SUM(T5:T12)*1000,"")</f>
        <v/>
      </c>
      <c r="V13" s="21" t="str">
        <f aca="false">IF(U13="","",IF(U13&gt;6,"CRITICO",IF(U13&gt;=3,"ATENCAO","META")))</f>
        <v/>
      </c>
      <c r="W13" s="19" t="n">
        <f aca="false">SUM(W5:W12)</f>
        <v>0</v>
      </c>
      <c r="X13" s="19" t="n">
        <f aca="false">SUM(X5:X12)</f>
        <v>0</v>
      </c>
      <c r="Y13" s="20" t="str">
        <f aca="false">IFERROR(SUM(W5:W12)/SUM(X5:X12)*100,"")</f>
        <v/>
      </c>
      <c r="Z13" s="21" t="str">
        <f aca="false">IF(Y13="","",IF(Y13&gt;5,"CRITICO",IF(Y13&gt;=3,"ATENCAO","META")))</f>
        <v/>
      </c>
      <c r="AA13" s="19" t="n">
        <f aca="false">SUM(AA5:AA12)</f>
        <v>0</v>
      </c>
    </row>
    <row r="14" customFormat="false" ht="7.5" hidden="false" customHeight="true" outlineLevel="0" collapsed="false"/>
    <row r="15" customFormat="false" ht="24" hidden="false" customHeight="true" outlineLevel="0" collapsed="false">
      <c r="A15" s="23" t="s">
        <v>43</v>
      </c>
      <c r="B15" s="23"/>
      <c r="C15" s="24"/>
      <c r="D15" s="24"/>
      <c r="G15" s="24"/>
      <c r="H15" s="24"/>
      <c r="K15" s="24"/>
      <c r="L15" s="24"/>
      <c r="M15" s="24"/>
      <c r="P15" s="24"/>
      <c r="S15" s="24"/>
      <c r="T15" s="24"/>
      <c r="W15" s="24"/>
      <c r="X15" s="24"/>
      <c r="AA15" s="24"/>
    </row>
    <row r="16" customFormat="false" ht="19.5" hidden="false" customHeight="true" outlineLevel="0" collapsed="false">
      <c r="A16" s="25" t="s">
        <v>44</v>
      </c>
      <c r="B16" s="25"/>
      <c r="C16" s="24"/>
      <c r="D16" s="24"/>
      <c r="E16" s="26" t="s">
        <v>45</v>
      </c>
      <c r="G16" s="24"/>
      <c r="H16" s="24"/>
      <c r="I16" s="26" t="s">
        <v>46</v>
      </c>
      <c r="K16" s="24"/>
      <c r="L16" s="24"/>
      <c r="M16" s="24"/>
      <c r="N16" s="26" t="s">
        <v>47</v>
      </c>
      <c r="P16" s="24"/>
      <c r="Q16" s="26" t="s">
        <v>48</v>
      </c>
      <c r="S16" s="24"/>
      <c r="T16" s="24"/>
      <c r="U16" s="26" t="s">
        <v>49</v>
      </c>
      <c r="W16" s="24"/>
      <c r="X16" s="24"/>
      <c r="Y16" s="26" t="s">
        <v>47</v>
      </c>
      <c r="AA16" s="24"/>
    </row>
    <row r="17" customFormat="false" ht="19.5" hidden="false" customHeight="true" outlineLevel="0" collapsed="false">
      <c r="A17" s="27" t="s">
        <v>50</v>
      </c>
      <c r="B17" s="27"/>
      <c r="C17" s="24"/>
      <c r="D17" s="24"/>
      <c r="E17" s="28" t="s">
        <v>51</v>
      </c>
      <c r="G17" s="24"/>
      <c r="H17" s="24"/>
      <c r="I17" s="28" t="s">
        <v>52</v>
      </c>
      <c r="K17" s="24"/>
      <c r="L17" s="24"/>
      <c r="M17" s="24"/>
      <c r="N17" s="28" t="s">
        <v>53</v>
      </c>
      <c r="P17" s="24"/>
      <c r="Q17" s="28" t="s">
        <v>54</v>
      </c>
      <c r="S17" s="24"/>
      <c r="T17" s="24"/>
      <c r="U17" s="28" t="s">
        <v>55</v>
      </c>
      <c r="W17" s="24"/>
      <c r="X17" s="24"/>
      <c r="Y17" s="28" t="s">
        <v>56</v>
      </c>
      <c r="AA17" s="24"/>
    </row>
    <row r="18" customFormat="false" ht="19.5" hidden="false" customHeight="true" outlineLevel="0" collapsed="false">
      <c r="A18" s="29" t="s">
        <v>57</v>
      </c>
      <c r="B18" s="29"/>
      <c r="C18" s="24"/>
      <c r="D18" s="24"/>
      <c r="E18" s="30" t="s">
        <v>58</v>
      </c>
      <c r="G18" s="24"/>
      <c r="H18" s="24"/>
      <c r="I18" s="30" t="s">
        <v>59</v>
      </c>
      <c r="K18" s="24"/>
      <c r="L18" s="24"/>
      <c r="M18" s="24"/>
      <c r="N18" s="30" t="s">
        <v>60</v>
      </c>
      <c r="P18" s="24"/>
      <c r="Q18" s="30" t="s">
        <v>61</v>
      </c>
      <c r="S18" s="24"/>
      <c r="T18" s="24"/>
      <c r="U18" s="30" t="s">
        <v>62</v>
      </c>
      <c r="W18" s="24"/>
      <c r="X18" s="24"/>
      <c r="Y18" s="30" t="s">
        <v>63</v>
      </c>
      <c r="AA18" s="24"/>
    </row>
  </sheetData>
  <mergeCells count="16">
    <mergeCell ref="A1:AA1"/>
    <mergeCell ref="A2:B2"/>
    <mergeCell ref="C2:D2"/>
    <mergeCell ref="E2:AA2"/>
    <mergeCell ref="A3:B3"/>
    <mergeCell ref="C3:F3"/>
    <mergeCell ref="G3:J3"/>
    <mergeCell ref="M3:O3"/>
    <mergeCell ref="P3:R3"/>
    <mergeCell ref="S3:V3"/>
    <mergeCell ref="W3:Z3"/>
    <mergeCell ref="A13:B13"/>
    <mergeCell ref="A15:B15"/>
    <mergeCell ref="A16:B16"/>
    <mergeCell ref="A17:B17"/>
    <mergeCell ref="A18:B18"/>
  </mergeCells>
  <conditionalFormatting sqref="F5:F13">
    <cfRule type="expression" priority="2" aboveAverage="0" equalAverage="0" bottom="0" percent="0" rank="0" text="" dxfId="0">
      <formula>F5="CRITICO"</formula>
    </cfRule>
    <cfRule type="expression" priority="3" aboveAverage="0" equalAverage="0" bottom="0" percent="0" rank="0" text="" dxfId="1">
      <formula>F5="ATENCAO"</formula>
    </cfRule>
    <cfRule type="expression" priority="4" aboveAverage="0" equalAverage="0" bottom="0" percent="0" rank="0" text="" dxfId="2">
      <formula>F5="FORA DA META"</formula>
    </cfRule>
    <cfRule type="expression" priority="5" aboveAverage="0" equalAverage="0" bottom="0" percent="0" rank="0" text="" dxfId="3">
      <formula>F5="META"</formula>
    </cfRule>
  </conditionalFormatting>
  <conditionalFormatting sqref="J5:J13">
    <cfRule type="expression" priority="6" aboveAverage="0" equalAverage="0" bottom="0" percent="0" rank="0" text="" dxfId="0">
      <formula>J5="CRITICO"</formula>
    </cfRule>
    <cfRule type="expression" priority="7" aboveAverage="0" equalAverage="0" bottom="0" percent="0" rank="0" text="" dxfId="1">
      <formula>J5="ATENCAO"</formula>
    </cfRule>
    <cfRule type="expression" priority="8" aboveAverage="0" equalAverage="0" bottom="0" percent="0" rank="0" text="" dxfId="2">
      <formula>J5="FORA DA META"</formula>
    </cfRule>
    <cfRule type="expression" priority="9" aboveAverage="0" equalAverage="0" bottom="0" percent="0" rank="0" text="" dxfId="3">
      <formula>J5="META"</formula>
    </cfRule>
  </conditionalFormatting>
  <conditionalFormatting sqref="O5:O13">
    <cfRule type="expression" priority="10" aboveAverage="0" equalAverage="0" bottom="0" percent="0" rank="0" text="" dxfId="0">
      <formula>O5="CRITICO"</formula>
    </cfRule>
    <cfRule type="expression" priority="11" aboveAverage="0" equalAverage="0" bottom="0" percent="0" rank="0" text="" dxfId="1">
      <formula>O5="ATENCAO"</formula>
    </cfRule>
    <cfRule type="expression" priority="12" aboveAverage="0" equalAverage="0" bottom="0" percent="0" rank="0" text="" dxfId="2">
      <formula>O5="FORA DA META"</formula>
    </cfRule>
    <cfRule type="expression" priority="13" aboveAverage="0" equalAverage="0" bottom="0" percent="0" rank="0" text="" dxfId="3">
      <formula>O5="META"</formula>
    </cfRule>
  </conditionalFormatting>
  <conditionalFormatting sqref="R5:R13">
    <cfRule type="expression" priority="14" aboveAverage="0" equalAverage="0" bottom="0" percent="0" rank="0" text="" dxfId="0">
      <formula>R5="CRITICO"</formula>
    </cfRule>
    <cfRule type="expression" priority="15" aboveAverage="0" equalAverage="0" bottom="0" percent="0" rank="0" text="" dxfId="1">
      <formula>R5="ATENCAO"</formula>
    </cfRule>
    <cfRule type="expression" priority="16" aboveAverage="0" equalAverage="0" bottom="0" percent="0" rank="0" text="" dxfId="2">
      <formula>R5="FORA DA META"</formula>
    </cfRule>
    <cfRule type="expression" priority="17" aboveAverage="0" equalAverage="0" bottom="0" percent="0" rank="0" text="" dxfId="3">
      <formula>R5="META"</formula>
    </cfRule>
  </conditionalFormatting>
  <conditionalFormatting sqref="V5:V13">
    <cfRule type="expression" priority="18" aboveAverage="0" equalAverage="0" bottom="0" percent="0" rank="0" text="" dxfId="0">
      <formula>V5="CRITICO"</formula>
    </cfRule>
    <cfRule type="expression" priority="19" aboveAverage="0" equalAverage="0" bottom="0" percent="0" rank="0" text="" dxfId="1">
      <formula>V5="ATENCAO"</formula>
    </cfRule>
    <cfRule type="expression" priority="20" aboveAverage="0" equalAverage="0" bottom="0" percent="0" rank="0" text="" dxfId="2">
      <formula>V5="FORA DA META"</formula>
    </cfRule>
    <cfRule type="expression" priority="21" aboveAverage="0" equalAverage="0" bottom="0" percent="0" rank="0" text="" dxfId="3">
      <formula>V5="META"</formula>
    </cfRule>
  </conditionalFormatting>
  <conditionalFormatting sqref="Z5:Z13">
    <cfRule type="expression" priority="22" aboveAverage="0" equalAverage="0" bottom="0" percent="0" rank="0" text="" dxfId="0">
      <formula>Z5="CRITICO"</formula>
    </cfRule>
    <cfRule type="expression" priority="23" aboveAverage="0" equalAverage="0" bottom="0" percent="0" rank="0" text="" dxfId="1">
      <formula>Z5="ATENCAO"</formula>
    </cfRule>
    <cfRule type="expression" priority="24" aboveAverage="0" equalAverage="0" bottom="0" percent="0" rank="0" text="" dxfId="2">
      <formula>Z5="FORA DA META"</formula>
    </cfRule>
    <cfRule type="expression" priority="25" aboveAverage="0" equalAverage="0" bottom="0" percent="0" rank="0" text="" dxfId="3">
      <formula>Z5="META"</formula>
    </cfRule>
  </conditionalFormatting>
  <conditionalFormatting sqref="E5:E13">
    <cfRule type="cellIs" priority="26" operator="lessThan" aboveAverage="0" equalAverage="0" bottom="0" percent="0" rank="0" text="" dxfId="4">
      <formula>60</formula>
    </cfRule>
    <cfRule type="expression" priority="27" aboveAverage="0" equalAverage="0" bottom="0" percent="0" rank="0" text="" dxfId="5">
      <formula>OR(E5&lt;70,E5&gt;95)</formula>
    </cfRule>
    <cfRule type="expression" priority="28" aboveAverage="0" equalAverage="0" bottom="0" percent="0" rank="0" text="" dxfId="6">
      <formula>AND(E5&gt;=85,E5&lt;=90)</formula>
    </cfRule>
  </conditionalFormatting>
  <conditionalFormatting sqref="I5:I13">
    <cfRule type="cellIs" priority="29" operator="greaterThan" aboveAverage="0" equalAverage="0" bottom="0" percent="0" rank="0" text="" dxfId="4">
      <formula>8</formula>
    </cfRule>
    <cfRule type="cellIs" priority="30" operator="greaterThan" aboveAverage="0" equalAverage="0" bottom="0" percent="0" rank="0" text="" dxfId="5">
      <formula>5</formula>
    </cfRule>
    <cfRule type="cellIs" priority="31" operator="lessThanOrEqual" aboveAverage="0" equalAverage="0" bottom="0" percent="0" rank="0" text="" dxfId="6">
      <formula>5</formula>
    </cfRule>
  </conditionalFormatting>
  <conditionalFormatting sqref="N5:N13">
    <cfRule type="cellIs" priority="32" operator="greaterThan" aboveAverage="0" equalAverage="0" bottom="0" percent="0" rank="0" text="" dxfId="4">
      <formula>6</formula>
    </cfRule>
    <cfRule type="cellIs" priority="33" operator="greaterThanOrEqual" aboveAverage="0" equalAverage="0" bottom="0" percent="0" rank="0" text="" dxfId="5">
      <formula>3</formula>
    </cfRule>
    <cfRule type="cellIs" priority="34" operator="lessThan" aboveAverage="0" equalAverage="0" bottom="0" percent="0" rank="0" text="" dxfId="6">
      <formula>3</formula>
    </cfRule>
  </conditionalFormatting>
  <conditionalFormatting sqref="Q5:Q13">
    <cfRule type="cellIs" priority="35" operator="greaterThan" aboveAverage="0" equalAverage="0" bottom="0" percent="0" rank="0" text="" dxfId="4">
      <formula>15</formula>
    </cfRule>
    <cfRule type="cellIs" priority="36" operator="greaterThanOrEqual" aboveAverage="0" equalAverage="0" bottom="0" percent="0" rank="0" text="" dxfId="5">
      <formula>10</formula>
    </cfRule>
    <cfRule type="cellIs" priority="37" operator="lessThan" aboveAverage="0" equalAverage="0" bottom="0" percent="0" rank="0" text="" dxfId="6">
      <formula>10</formula>
    </cfRule>
  </conditionalFormatting>
  <conditionalFormatting sqref="U5:U13">
    <cfRule type="cellIs" priority="38" operator="greaterThan" aboveAverage="0" equalAverage="0" bottom="0" percent="0" rank="0" text="" dxfId="4">
      <formula>6</formula>
    </cfRule>
    <cfRule type="cellIs" priority="39" operator="greaterThanOrEqual" aboveAverage="0" equalAverage="0" bottom="0" percent="0" rank="0" text="" dxfId="5">
      <formula>3</formula>
    </cfRule>
    <cfRule type="cellIs" priority="40" operator="lessThan" aboveAverage="0" equalAverage="0" bottom="0" percent="0" rank="0" text="" dxfId="6">
      <formula>3</formula>
    </cfRule>
  </conditionalFormatting>
  <conditionalFormatting sqref="Y5:Y13">
    <cfRule type="cellIs" priority="41" operator="greaterThan" aboveAverage="0" equalAverage="0" bottom="0" percent="0" rank="0" text="" dxfId="4">
      <formula>5</formula>
    </cfRule>
    <cfRule type="cellIs" priority="42" operator="greaterThanOrEqual" aboveAverage="0" equalAverage="0" bottom="0" percent="0" rank="0" text="" dxfId="5">
      <formula>3</formula>
    </cfRule>
    <cfRule type="cellIs" priority="43" operator="lessThan" aboveAverage="0" equalAverage="0" bottom="0" percent="0" rank="0" text="" dxfId="6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10" min="3" style="0" width="22"/>
  </cols>
  <sheetData>
    <row r="1" customFormat="false" ht="33.75" hidden="false" customHeight="true" outlineLevel="0" collapsed="false">
      <c r="A1" s="31" t="s">
        <v>64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21.75" hidden="false" customHeight="true" outlineLevel="0" collapsed="false">
      <c r="A2" s="2" t="s">
        <v>65</v>
      </c>
      <c r="B2" s="2"/>
      <c r="C2" s="32"/>
      <c r="D2" s="32"/>
      <c r="E2" s="4" t="s">
        <v>66</v>
      </c>
      <c r="F2" s="4"/>
      <c r="G2" s="4"/>
      <c r="H2" s="4"/>
      <c r="I2" s="4"/>
      <c r="J2" s="4"/>
    </row>
    <row r="3" customFormat="false" ht="36" hidden="false" customHeight="true" outlineLevel="0" collapsed="false">
      <c r="A3" s="33" t="s">
        <v>67</v>
      </c>
      <c r="B3" s="33"/>
      <c r="C3" s="10" t="s">
        <v>68</v>
      </c>
      <c r="D3" s="10" t="s">
        <v>69</v>
      </c>
      <c r="E3" s="10" t="s">
        <v>70</v>
      </c>
      <c r="F3" s="10" t="s">
        <v>71</v>
      </c>
      <c r="G3" s="10" t="s">
        <v>72</v>
      </c>
      <c r="H3" s="10" t="s">
        <v>73</v>
      </c>
      <c r="I3" s="10" t="s">
        <v>74</v>
      </c>
      <c r="J3" s="10" t="s">
        <v>75</v>
      </c>
    </row>
    <row r="4" customFormat="false" ht="21.75" hidden="false" customHeight="true" outlineLevel="0" collapsed="false">
      <c r="A4" s="34" t="s">
        <v>76</v>
      </c>
      <c r="B4" s="34"/>
      <c r="C4" s="34"/>
      <c r="D4" s="34"/>
      <c r="E4" s="34"/>
      <c r="F4" s="34"/>
      <c r="G4" s="34"/>
      <c r="H4" s="34"/>
      <c r="I4" s="34"/>
      <c r="J4" s="34"/>
    </row>
    <row r="5" customFormat="false" ht="37.5" hidden="false" customHeight="true" outlineLevel="0" collapsed="false">
      <c r="A5" s="35" t="s">
        <v>77</v>
      </c>
      <c r="B5" s="35"/>
      <c r="C5" s="36"/>
      <c r="D5" s="36"/>
      <c r="E5" s="36"/>
      <c r="F5" s="36"/>
      <c r="G5" s="36"/>
      <c r="H5" s="36"/>
      <c r="I5" s="36"/>
      <c r="J5" s="36"/>
    </row>
    <row r="6" customFormat="false" ht="37.5" hidden="false" customHeight="true" outlineLevel="0" collapsed="false">
      <c r="A6" s="35" t="s">
        <v>78</v>
      </c>
      <c r="B6" s="35"/>
      <c r="C6" s="36"/>
      <c r="D6" s="36"/>
      <c r="E6" s="36"/>
      <c r="F6" s="36"/>
      <c r="G6" s="36"/>
      <c r="H6" s="36"/>
      <c r="I6" s="36"/>
      <c r="J6" s="36"/>
    </row>
    <row r="7" customFormat="false" ht="37.5" hidden="false" customHeight="true" outlineLevel="0" collapsed="false">
      <c r="A7" s="35" t="s">
        <v>79</v>
      </c>
      <c r="B7" s="35"/>
      <c r="C7" s="36"/>
      <c r="D7" s="36"/>
      <c r="E7" s="36"/>
      <c r="F7" s="36"/>
      <c r="G7" s="36"/>
      <c r="H7" s="36"/>
      <c r="I7" s="36"/>
      <c r="J7" s="36"/>
    </row>
    <row r="8" customFormat="false" ht="37.5" hidden="false" customHeight="true" outlineLevel="0" collapsed="false">
      <c r="A8" s="35" t="s">
        <v>80</v>
      </c>
      <c r="B8" s="35"/>
      <c r="C8" s="36"/>
      <c r="D8" s="36"/>
      <c r="E8" s="36"/>
      <c r="F8" s="36"/>
      <c r="G8" s="36"/>
      <c r="H8" s="36"/>
      <c r="I8" s="36"/>
      <c r="J8" s="36"/>
    </row>
    <row r="9" customFormat="false" ht="21.75" hidden="false" customHeight="true" outlineLevel="0" collapsed="false">
      <c r="A9" s="37" t="s">
        <v>81</v>
      </c>
      <c r="B9" s="37"/>
      <c r="C9" s="37"/>
      <c r="D9" s="37"/>
      <c r="E9" s="37"/>
      <c r="F9" s="37"/>
      <c r="G9" s="37"/>
      <c r="H9" s="37"/>
      <c r="I9" s="37"/>
      <c r="J9" s="37"/>
    </row>
    <row r="10" customFormat="false" ht="37.5" hidden="false" customHeight="true" outlineLevel="0" collapsed="false">
      <c r="A10" s="38" t="s">
        <v>82</v>
      </c>
      <c r="B10" s="38"/>
      <c r="C10" s="36"/>
      <c r="D10" s="36"/>
      <c r="E10" s="36"/>
      <c r="F10" s="36"/>
      <c r="G10" s="36"/>
      <c r="H10" s="36"/>
      <c r="I10" s="36"/>
      <c r="J10" s="36"/>
    </row>
    <row r="11" customFormat="false" ht="37.5" hidden="false" customHeight="true" outlineLevel="0" collapsed="false">
      <c r="A11" s="38" t="s">
        <v>83</v>
      </c>
      <c r="B11" s="38"/>
      <c r="C11" s="36"/>
      <c r="D11" s="36"/>
      <c r="E11" s="36"/>
      <c r="F11" s="36"/>
      <c r="G11" s="36"/>
      <c r="H11" s="36"/>
      <c r="I11" s="36"/>
      <c r="J11" s="36"/>
    </row>
    <row r="12" customFormat="false" ht="37.5" hidden="false" customHeight="true" outlineLevel="0" collapsed="false">
      <c r="A12" s="38" t="s">
        <v>84</v>
      </c>
      <c r="B12" s="38"/>
      <c r="C12" s="36"/>
      <c r="D12" s="36"/>
      <c r="E12" s="36"/>
      <c r="F12" s="36"/>
      <c r="G12" s="36"/>
      <c r="H12" s="36"/>
      <c r="I12" s="36"/>
      <c r="J12" s="36"/>
    </row>
    <row r="13" customFormat="false" ht="37.5" hidden="false" customHeight="true" outlineLevel="0" collapsed="false">
      <c r="A13" s="38" t="s">
        <v>85</v>
      </c>
      <c r="B13" s="38"/>
      <c r="C13" s="36"/>
      <c r="D13" s="36"/>
      <c r="E13" s="36"/>
      <c r="F13" s="36"/>
      <c r="G13" s="36"/>
      <c r="H13" s="36"/>
      <c r="I13" s="36"/>
      <c r="J13" s="36"/>
    </row>
    <row r="14" customFormat="false" ht="37.5" hidden="false" customHeight="true" outlineLevel="0" collapsed="false">
      <c r="A14" s="38" t="s">
        <v>86</v>
      </c>
      <c r="B14" s="38"/>
      <c r="C14" s="36"/>
      <c r="D14" s="36"/>
      <c r="E14" s="36"/>
      <c r="F14" s="36"/>
      <c r="G14" s="36"/>
      <c r="H14" s="36"/>
      <c r="I14" s="36"/>
      <c r="J14" s="36"/>
    </row>
    <row r="15" customFormat="false" ht="37.5" hidden="false" customHeight="true" outlineLevel="0" collapsed="false">
      <c r="A15" s="38" t="s">
        <v>87</v>
      </c>
      <c r="B15" s="38"/>
      <c r="C15" s="36"/>
      <c r="D15" s="36"/>
      <c r="E15" s="36"/>
      <c r="F15" s="36"/>
      <c r="G15" s="36"/>
      <c r="H15" s="36"/>
      <c r="I15" s="36"/>
      <c r="J15" s="36"/>
    </row>
    <row r="16" customFormat="false" ht="21.75" hidden="false" customHeight="true" outlineLevel="0" collapsed="false">
      <c r="A16" s="39" t="s">
        <v>88</v>
      </c>
      <c r="B16" s="39"/>
      <c r="C16" s="39"/>
      <c r="D16" s="39"/>
      <c r="E16" s="39"/>
      <c r="F16" s="39"/>
      <c r="G16" s="39"/>
      <c r="H16" s="39"/>
      <c r="I16" s="39"/>
      <c r="J16" s="39"/>
    </row>
    <row r="17" customFormat="false" ht="37.5" hidden="false" customHeight="true" outlineLevel="0" collapsed="false">
      <c r="A17" s="40" t="s">
        <v>89</v>
      </c>
      <c r="B17" s="40"/>
      <c r="C17" s="36"/>
      <c r="D17" s="36"/>
      <c r="E17" s="36"/>
      <c r="F17" s="36"/>
      <c r="G17" s="36"/>
      <c r="H17" s="36"/>
      <c r="I17" s="36"/>
      <c r="J17" s="36"/>
    </row>
    <row r="18" customFormat="false" ht="37.5" hidden="false" customHeight="true" outlineLevel="0" collapsed="false">
      <c r="A18" s="40" t="s">
        <v>90</v>
      </c>
      <c r="B18" s="40"/>
      <c r="C18" s="36"/>
      <c r="D18" s="36"/>
      <c r="E18" s="36"/>
      <c r="F18" s="36"/>
      <c r="G18" s="36"/>
      <c r="H18" s="36"/>
      <c r="I18" s="36"/>
      <c r="J18" s="36"/>
    </row>
    <row r="19" customFormat="false" ht="37.5" hidden="false" customHeight="true" outlineLevel="0" collapsed="false">
      <c r="A19" s="40" t="s">
        <v>91</v>
      </c>
      <c r="B19" s="40"/>
      <c r="C19" s="36"/>
      <c r="D19" s="36"/>
      <c r="E19" s="36"/>
      <c r="F19" s="36"/>
      <c r="G19" s="36"/>
      <c r="H19" s="36"/>
      <c r="I19" s="36"/>
      <c r="J19" s="36"/>
    </row>
    <row r="20" customFormat="false" ht="37.5" hidden="false" customHeight="true" outlineLevel="0" collapsed="false">
      <c r="A20" s="40" t="s">
        <v>92</v>
      </c>
      <c r="B20" s="40"/>
      <c r="C20" s="36"/>
      <c r="D20" s="36"/>
      <c r="E20" s="36"/>
      <c r="F20" s="36"/>
      <c r="G20" s="36"/>
      <c r="H20" s="36"/>
      <c r="I20" s="36"/>
      <c r="J20" s="36"/>
    </row>
    <row r="21" customFormat="false" ht="37.5" hidden="false" customHeight="true" outlineLevel="0" collapsed="false">
      <c r="A21" s="40" t="s">
        <v>93</v>
      </c>
      <c r="B21" s="40"/>
      <c r="C21" s="36"/>
      <c r="D21" s="36"/>
      <c r="E21" s="36"/>
      <c r="F21" s="36"/>
      <c r="G21" s="36"/>
      <c r="H21" s="36"/>
      <c r="I21" s="36"/>
      <c r="J21" s="36"/>
    </row>
  </sheetData>
  <mergeCells count="23">
    <mergeCell ref="A1:J1"/>
    <mergeCell ref="A2:B2"/>
    <mergeCell ref="C2:D2"/>
    <mergeCell ref="E2:J2"/>
    <mergeCell ref="A3:B3"/>
    <mergeCell ref="A4:J4"/>
    <mergeCell ref="A5:B5"/>
    <mergeCell ref="A6:B6"/>
    <mergeCell ref="A7:B7"/>
    <mergeCell ref="A8:B8"/>
    <mergeCell ref="A9:J9"/>
    <mergeCell ref="A10:B10"/>
    <mergeCell ref="A11:B11"/>
    <mergeCell ref="A12:B12"/>
    <mergeCell ref="A13:B13"/>
    <mergeCell ref="A14:B14"/>
    <mergeCell ref="A15:B15"/>
    <mergeCell ref="A16:J16"/>
    <mergeCell ref="A17:B17"/>
    <mergeCell ref="A18:B18"/>
    <mergeCell ref="A19:B19"/>
    <mergeCell ref="A20:B20"/>
    <mergeCell ref="A21:B21"/>
  </mergeCells>
  <conditionalFormatting sqref="C5">
    <cfRule type="expression" priority="2" aboveAverage="0" equalAverage="0" bottom="0" percent="0" rank="0" text="" dxfId="7">
      <formula>C5="Implantado"</formula>
    </cfRule>
    <cfRule type="expression" priority="3" aboveAverage="0" equalAverage="0" bottom="0" percent="0" rank="0" text="" dxfId="7">
      <formula>C5="Monitoramento continuo"</formula>
    </cfRule>
    <cfRule type="expression" priority="4" aboveAverage="0" equalAverage="0" bottom="0" percent="0" rank="0" text="" dxfId="8">
      <formula>C5="Em desenvolvimento"</formula>
    </cfRule>
    <cfRule type="expression" priority="5" aboveAverage="0" equalAverage="0" bottom="0" percent="0" rank="0" text="" dxfId="8">
      <formula>C5="Em implantacao"</formula>
    </cfRule>
    <cfRule type="expression" priority="6" aboveAverage="0" equalAverage="0" bottom="0" percent="0" rank="0" text="" dxfId="9">
      <formula>C5="Nao iniciado"</formula>
    </cfRule>
  </conditionalFormatting>
  <conditionalFormatting sqref="D5">
    <cfRule type="expression" priority="7" aboveAverage="0" equalAverage="0" bottom="0" percent="0" rank="0" text="" dxfId="7">
      <formula>D5="Implantado"</formula>
    </cfRule>
    <cfRule type="expression" priority="8" aboveAverage="0" equalAverage="0" bottom="0" percent="0" rank="0" text="" dxfId="7">
      <formula>D5="Monitoramento continuo"</formula>
    </cfRule>
    <cfRule type="expression" priority="9" aboveAverage="0" equalAverage="0" bottom="0" percent="0" rank="0" text="" dxfId="8">
      <formula>D5="Em desenvolvimento"</formula>
    </cfRule>
    <cfRule type="expression" priority="10" aboveAverage="0" equalAverage="0" bottom="0" percent="0" rank="0" text="" dxfId="8">
      <formula>D5="Em implantacao"</formula>
    </cfRule>
    <cfRule type="expression" priority="11" aboveAverage="0" equalAverage="0" bottom="0" percent="0" rank="0" text="" dxfId="9">
      <formula>D5="Nao iniciado"</formula>
    </cfRule>
  </conditionalFormatting>
  <conditionalFormatting sqref="E5">
    <cfRule type="expression" priority="12" aboveAverage="0" equalAverage="0" bottom="0" percent="0" rank="0" text="" dxfId="7">
      <formula>E5="Implantado"</formula>
    </cfRule>
    <cfRule type="expression" priority="13" aboveAverage="0" equalAverage="0" bottom="0" percent="0" rank="0" text="" dxfId="7">
      <formula>E5="Monitoramento continuo"</formula>
    </cfRule>
    <cfRule type="expression" priority="14" aboveAverage="0" equalAverage="0" bottom="0" percent="0" rank="0" text="" dxfId="8">
      <formula>E5="Em desenvolvimento"</formula>
    </cfRule>
    <cfRule type="expression" priority="15" aboveAverage="0" equalAverage="0" bottom="0" percent="0" rank="0" text="" dxfId="8">
      <formula>E5="Em implantacao"</formula>
    </cfRule>
    <cfRule type="expression" priority="16" aboveAverage="0" equalAverage="0" bottom="0" percent="0" rank="0" text="" dxfId="9">
      <formula>E5="Nao iniciado"</formula>
    </cfRule>
  </conditionalFormatting>
  <conditionalFormatting sqref="F5">
    <cfRule type="expression" priority="17" aboveAverage="0" equalAverage="0" bottom="0" percent="0" rank="0" text="" dxfId="7">
      <formula>F5="Implantado"</formula>
    </cfRule>
    <cfRule type="expression" priority="18" aboveAverage="0" equalAverage="0" bottom="0" percent="0" rank="0" text="" dxfId="7">
      <formula>F5="Monitoramento continuo"</formula>
    </cfRule>
    <cfRule type="expression" priority="19" aboveAverage="0" equalAverage="0" bottom="0" percent="0" rank="0" text="" dxfId="8">
      <formula>F5="Em desenvolvimento"</formula>
    </cfRule>
    <cfRule type="expression" priority="20" aboveAverage="0" equalAverage="0" bottom="0" percent="0" rank="0" text="" dxfId="8">
      <formula>F5="Em implantacao"</formula>
    </cfRule>
    <cfRule type="expression" priority="21" aboveAverage="0" equalAverage="0" bottom="0" percent="0" rank="0" text="" dxfId="9">
      <formula>F5="Nao iniciado"</formula>
    </cfRule>
  </conditionalFormatting>
  <conditionalFormatting sqref="G5">
    <cfRule type="expression" priority="22" aboveAverage="0" equalAverage="0" bottom="0" percent="0" rank="0" text="" dxfId="7">
      <formula>G5="Implantado"</formula>
    </cfRule>
    <cfRule type="expression" priority="23" aboveAverage="0" equalAverage="0" bottom="0" percent="0" rank="0" text="" dxfId="7">
      <formula>G5="Monitoramento continuo"</formula>
    </cfRule>
    <cfRule type="expression" priority="24" aboveAverage="0" equalAverage="0" bottom="0" percent="0" rank="0" text="" dxfId="8">
      <formula>G5="Em desenvolvimento"</formula>
    </cfRule>
    <cfRule type="expression" priority="25" aboveAverage="0" equalAverage="0" bottom="0" percent="0" rank="0" text="" dxfId="8">
      <formula>G5="Em implantacao"</formula>
    </cfRule>
    <cfRule type="expression" priority="26" aboveAverage="0" equalAverage="0" bottom="0" percent="0" rank="0" text="" dxfId="9">
      <formula>G5="Nao iniciado"</formula>
    </cfRule>
  </conditionalFormatting>
  <conditionalFormatting sqref="H5">
    <cfRule type="expression" priority="27" aboveAverage="0" equalAverage="0" bottom="0" percent="0" rank="0" text="" dxfId="7">
      <formula>H5="Implantado"</formula>
    </cfRule>
    <cfRule type="expression" priority="28" aboveAverage="0" equalAverage="0" bottom="0" percent="0" rank="0" text="" dxfId="7">
      <formula>H5="Monitoramento continuo"</formula>
    </cfRule>
    <cfRule type="expression" priority="29" aboveAverage="0" equalAverage="0" bottom="0" percent="0" rank="0" text="" dxfId="8">
      <formula>H5="Em desenvolvimento"</formula>
    </cfRule>
    <cfRule type="expression" priority="30" aboveAverage="0" equalAverage="0" bottom="0" percent="0" rank="0" text="" dxfId="8">
      <formula>H5="Em implantacao"</formula>
    </cfRule>
    <cfRule type="expression" priority="31" aboveAverage="0" equalAverage="0" bottom="0" percent="0" rank="0" text="" dxfId="9">
      <formula>H5="Nao iniciado"</formula>
    </cfRule>
  </conditionalFormatting>
  <conditionalFormatting sqref="I5">
    <cfRule type="expression" priority="32" aboveAverage="0" equalAverage="0" bottom="0" percent="0" rank="0" text="" dxfId="7">
      <formula>I5="Implantado"</formula>
    </cfRule>
    <cfRule type="expression" priority="33" aboveAverage="0" equalAverage="0" bottom="0" percent="0" rank="0" text="" dxfId="7">
      <formula>I5="Monitoramento continuo"</formula>
    </cfRule>
    <cfRule type="expression" priority="34" aboveAverage="0" equalAverage="0" bottom="0" percent="0" rank="0" text="" dxfId="8">
      <formula>I5="Em desenvolvimento"</formula>
    </cfRule>
    <cfRule type="expression" priority="35" aboveAverage="0" equalAverage="0" bottom="0" percent="0" rank="0" text="" dxfId="8">
      <formula>I5="Em implantacao"</formula>
    </cfRule>
    <cfRule type="expression" priority="36" aboveAverage="0" equalAverage="0" bottom="0" percent="0" rank="0" text="" dxfId="9">
      <formula>I5="Nao iniciado"</formula>
    </cfRule>
  </conditionalFormatting>
  <conditionalFormatting sqref="J5">
    <cfRule type="expression" priority="37" aboveAverage="0" equalAverage="0" bottom="0" percent="0" rank="0" text="" dxfId="7">
      <formula>J5="Implantado"</formula>
    </cfRule>
    <cfRule type="expression" priority="38" aboveAverage="0" equalAverage="0" bottom="0" percent="0" rank="0" text="" dxfId="7">
      <formula>J5="Monitoramento continuo"</formula>
    </cfRule>
    <cfRule type="expression" priority="39" aboveAverage="0" equalAverage="0" bottom="0" percent="0" rank="0" text="" dxfId="8">
      <formula>J5="Em desenvolvimento"</formula>
    </cfRule>
    <cfRule type="expression" priority="40" aboveAverage="0" equalAverage="0" bottom="0" percent="0" rank="0" text="" dxfId="8">
      <formula>J5="Em implantacao"</formula>
    </cfRule>
    <cfRule type="expression" priority="41" aboveAverage="0" equalAverage="0" bottom="0" percent="0" rank="0" text="" dxfId="9">
      <formula>J5="Nao iniciado"</formula>
    </cfRule>
  </conditionalFormatting>
  <conditionalFormatting sqref="C6">
    <cfRule type="expression" priority="42" aboveAverage="0" equalAverage="0" bottom="0" percent="0" rank="0" text="" dxfId="7">
      <formula>C6="Implantado"</formula>
    </cfRule>
    <cfRule type="expression" priority="43" aboveAverage="0" equalAverage="0" bottom="0" percent="0" rank="0" text="" dxfId="7">
      <formula>C6="Monitoramento continuo"</formula>
    </cfRule>
    <cfRule type="expression" priority="44" aboveAverage="0" equalAverage="0" bottom="0" percent="0" rank="0" text="" dxfId="8">
      <formula>C6="Em desenvolvimento"</formula>
    </cfRule>
    <cfRule type="expression" priority="45" aboveAverage="0" equalAverage="0" bottom="0" percent="0" rank="0" text="" dxfId="8">
      <formula>C6="Em implantacao"</formula>
    </cfRule>
    <cfRule type="expression" priority="46" aboveAverage="0" equalAverage="0" bottom="0" percent="0" rank="0" text="" dxfId="9">
      <formula>C6="Nao iniciado"</formula>
    </cfRule>
  </conditionalFormatting>
  <conditionalFormatting sqref="D6">
    <cfRule type="expression" priority="47" aboveAverage="0" equalAverage="0" bottom="0" percent="0" rank="0" text="" dxfId="7">
      <formula>D6="Implantado"</formula>
    </cfRule>
    <cfRule type="expression" priority="48" aboveAverage="0" equalAverage="0" bottom="0" percent="0" rank="0" text="" dxfId="7">
      <formula>D6="Monitoramento continuo"</formula>
    </cfRule>
    <cfRule type="expression" priority="49" aboveAverage="0" equalAverage="0" bottom="0" percent="0" rank="0" text="" dxfId="8">
      <formula>D6="Em desenvolvimento"</formula>
    </cfRule>
    <cfRule type="expression" priority="50" aboveAverage="0" equalAverage="0" bottom="0" percent="0" rank="0" text="" dxfId="8">
      <formula>D6="Em implantacao"</formula>
    </cfRule>
    <cfRule type="expression" priority="51" aboveAverage="0" equalAverage="0" bottom="0" percent="0" rank="0" text="" dxfId="9">
      <formula>D6="Nao iniciado"</formula>
    </cfRule>
  </conditionalFormatting>
  <conditionalFormatting sqref="E6">
    <cfRule type="expression" priority="52" aboveAverage="0" equalAverage="0" bottom="0" percent="0" rank="0" text="" dxfId="7">
      <formula>E6="Implantado"</formula>
    </cfRule>
    <cfRule type="expression" priority="53" aboveAverage="0" equalAverage="0" bottom="0" percent="0" rank="0" text="" dxfId="7">
      <formula>E6="Monitoramento continuo"</formula>
    </cfRule>
    <cfRule type="expression" priority="54" aboveAverage="0" equalAverage="0" bottom="0" percent="0" rank="0" text="" dxfId="8">
      <formula>E6="Em desenvolvimento"</formula>
    </cfRule>
    <cfRule type="expression" priority="55" aboveAverage="0" equalAverage="0" bottom="0" percent="0" rank="0" text="" dxfId="8">
      <formula>E6="Em implantacao"</formula>
    </cfRule>
    <cfRule type="expression" priority="56" aboveAverage="0" equalAverage="0" bottom="0" percent="0" rank="0" text="" dxfId="9">
      <formula>E6="Nao iniciado"</formula>
    </cfRule>
  </conditionalFormatting>
  <conditionalFormatting sqref="F6">
    <cfRule type="expression" priority="57" aboveAverage="0" equalAverage="0" bottom="0" percent="0" rank="0" text="" dxfId="7">
      <formula>F6="Implantado"</formula>
    </cfRule>
    <cfRule type="expression" priority="58" aboveAverage="0" equalAverage="0" bottom="0" percent="0" rank="0" text="" dxfId="7">
      <formula>F6="Monitoramento continuo"</formula>
    </cfRule>
    <cfRule type="expression" priority="59" aboveAverage="0" equalAverage="0" bottom="0" percent="0" rank="0" text="" dxfId="8">
      <formula>F6="Em desenvolvimento"</formula>
    </cfRule>
    <cfRule type="expression" priority="60" aboveAverage="0" equalAverage="0" bottom="0" percent="0" rank="0" text="" dxfId="8">
      <formula>F6="Em implantacao"</formula>
    </cfRule>
    <cfRule type="expression" priority="61" aboveAverage="0" equalAverage="0" bottom="0" percent="0" rank="0" text="" dxfId="9">
      <formula>F6="Nao iniciado"</formula>
    </cfRule>
  </conditionalFormatting>
  <conditionalFormatting sqref="G6">
    <cfRule type="expression" priority="62" aboveAverage="0" equalAverage="0" bottom="0" percent="0" rank="0" text="" dxfId="7">
      <formula>G6="Implantado"</formula>
    </cfRule>
    <cfRule type="expression" priority="63" aboveAverage="0" equalAverage="0" bottom="0" percent="0" rank="0" text="" dxfId="7">
      <formula>G6="Monitoramento continuo"</formula>
    </cfRule>
    <cfRule type="expression" priority="64" aboveAverage="0" equalAverage="0" bottom="0" percent="0" rank="0" text="" dxfId="8">
      <formula>G6="Em desenvolvimento"</formula>
    </cfRule>
    <cfRule type="expression" priority="65" aboveAverage="0" equalAverage="0" bottom="0" percent="0" rank="0" text="" dxfId="8">
      <formula>G6="Em implantacao"</formula>
    </cfRule>
    <cfRule type="expression" priority="66" aboveAverage="0" equalAverage="0" bottom="0" percent="0" rank="0" text="" dxfId="9">
      <formula>G6="Nao iniciado"</formula>
    </cfRule>
  </conditionalFormatting>
  <conditionalFormatting sqref="H6">
    <cfRule type="expression" priority="67" aboveAverage="0" equalAverage="0" bottom="0" percent="0" rank="0" text="" dxfId="7">
      <formula>H6="Implantado"</formula>
    </cfRule>
    <cfRule type="expression" priority="68" aboveAverage="0" equalAverage="0" bottom="0" percent="0" rank="0" text="" dxfId="7">
      <formula>H6="Monitoramento continuo"</formula>
    </cfRule>
    <cfRule type="expression" priority="69" aboveAverage="0" equalAverage="0" bottom="0" percent="0" rank="0" text="" dxfId="8">
      <formula>H6="Em desenvolvimento"</formula>
    </cfRule>
    <cfRule type="expression" priority="70" aboveAverage="0" equalAverage="0" bottom="0" percent="0" rank="0" text="" dxfId="8">
      <formula>H6="Em implantacao"</formula>
    </cfRule>
    <cfRule type="expression" priority="71" aboveAverage="0" equalAverage="0" bottom="0" percent="0" rank="0" text="" dxfId="9">
      <formula>H6="Nao iniciado"</formula>
    </cfRule>
  </conditionalFormatting>
  <conditionalFormatting sqref="I6">
    <cfRule type="expression" priority="72" aboveAverage="0" equalAverage="0" bottom="0" percent="0" rank="0" text="" dxfId="7">
      <formula>I6="Implantado"</formula>
    </cfRule>
    <cfRule type="expression" priority="73" aboveAverage="0" equalAverage="0" bottom="0" percent="0" rank="0" text="" dxfId="7">
      <formula>I6="Monitoramento continuo"</formula>
    </cfRule>
    <cfRule type="expression" priority="74" aboveAverage="0" equalAverage="0" bottom="0" percent="0" rank="0" text="" dxfId="8">
      <formula>I6="Em desenvolvimento"</formula>
    </cfRule>
    <cfRule type="expression" priority="75" aboveAverage="0" equalAverage="0" bottom="0" percent="0" rank="0" text="" dxfId="8">
      <formula>I6="Em implantacao"</formula>
    </cfRule>
    <cfRule type="expression" priority="76" aboveAverage="0" equalAverage="0" bottom="0" percent="0" rank="0" text="" dxfId="9">
      <formula>I6="Nao iniciado"</formula>
    </cfRule>
  </conditionalFormatting>
  <conditionalFormatting sqref="J6">
    <cfRule type="expression" priority="77" aboveAverage="0" equalAverage="0" bottom="0" percent="0" rank="0" text="" dxfId="7">
      <formula>J6="Implantado"</formula>
    </cfRule>
    <cfRule type="expression" priority="78" aboveAverage="0" equalAverage="0" bottom="0" percent="0" rank="0" text="" dxfId="7">
      <formula>J6="Monitoramento continuo"</formula>
    </cfRule>
    <cfRule type="expression" priority="79" aboveAverage="0" equalAverage="0" bottom="0" percent="0" rank="0" text="" dxfId="8">
      <formula>J6="Em desenvolvimento"</formula>
    </cfRule>
    <cfRule type="expression" priority="80" aboveAverage="0" equalAverage="0" bottom="0" percent="0" rank="0" text="" dxfId="8">
      <formula>J6="Em implantacao"</formula>
    </cfRule>
    <cfRule type="expression" priority="81" aboveAverage="0" equalAverage="0" bottom="0" percent="0" rank="0" text="" dxfId="9">
      <formula>J6="Nao iniciado"</formula>
    </cfRule>
  </conditionalFormatting>
  <conditionalFormatting sqref="C7">
    <cfRule type="expression" priority="82" aboveAverage="0" equalAverage="0" bottom="0" percent="0" rank="0" text="" dxfId="7">
      <formula>C7="Implantado"</formula>
    </cfRule>
    <cfRule type="expression" priority="83" aboveAverage="0" equalAverage="0" bottom="0" percent="0" rank="0" text="" dxfId="7">
      <formula>C7="Monitoramento continuo"</formula>
    </cfRule>
    <cfRule type="expression" priority="84" aboveAverage="0" equalAverage="0" bottom="0" percent="0" rank="0" text="" dxfId="8">
      <formula>C7="Em desenvolvimento"</formula>
    </cfRule>
    <cfRule type="expression" priority="85" aboveAverage="0" equalAverage="0" bottom="0" percent="0" rank="0" text="" dxfId="8">
      <formula>C7="Em implantacao"</formula>
    </cfRule>
    <cfRule type="expression" priority="86" aboveAverage="0" equalAverage="0" bottom="0" percent="0" rank="0" text="" dxfId="9">
      <formula>C7="Nao iniciado"</formula>
    </cfRule>
  </conditionalFormatting>
  <conditionalFormatting sqref="D7">
    <cfRule type="expression" priority="87" aboveAverage="0" equalAverage="0" bottom="0" percent="0" rank="0" text="" dxfId="7">
      <formula>D7="Implantado"</formula>
    </cfRule>
    <cfRule type="expression" priority="88" aboveAverage="0" equalAverage="0" bottom="0" percent="0" rank="0" text="" dxfId="7">
      <formula>D7="Monitoramento continuo"</formula>
    </cfRule>
    <cfRule type="expression" priority="89" aboveAverage="0" equalAverage="0" bottom="0" percent="0" rank="0" text="" dxfId="8">
      <formula>D7="Em desenvolvimento"</formula>
    </cfRule>
    <cfRule type="expression" priority="90" aboveAverage="0" equalAverage="0" bottom="0" percent="0" rank="0" text="" dxfId="8">
      <formula>D7="Em implantacao"</formula>
    </cfRule>
    <cfRule type="expression" priority="91" aboveAverage="0" equalAverage="0" bottom="0" percent="0" rank="0" text="" dxfId="9">
      <formula>D7="Nao iniciado"</formula>
    </cfRule>
  </conditionalFormatting>
  <conditionalFormatting sqref="E7">
    <cfRule type="expression" priority="92" aboveAverage="0" equalAverage="0" bottom="0" percent="0" rank="0" text="" dxfId="7">
      <formula>E7="Implantado"</formula>
    </cfRule>
    <cfRule type="expression" priority="93" aboveAverage="0" equalAverage="0" bottom="0" percent="0" rank="0" text="" dxfId="7">
      <formula>E7="Monitoramento continuo"</formula>
    </cfRule>
    <cfRule type="expression" priority="94" aboveAverage="0" equalAverage="0" bottom="0" percent="0" rank="0" text="" dxfId="8">
      <formula>E7="Em desenvolvimento"</formula>
    </cfRule>
    <cfRule type="expression" priority="95" aboveAverage="0" equalAverage="0" bottom="0" percent="0" rank="0" text="" dxfId="8">
      <formula>E7="Em implantacao"</formula>
    </cfRule>
    <cfRule type="expression" priority="96" aboveAverage="0" equalAverage="0" bottom="0" percent="0" rank="0" text="" dxfId="9">
      <formula>E7="Nao iniciado"</formula>
    </cfRule>
  </conditionalFormatting>
  <conditionalFormatting sqref="F7">
    <cfRule type="expression" priority="97" aboveAverage="0" equalAverage="0" bottom="0" percent="0" rank="0" text="" dxfId="7">
      <formula>F7="Implantado"</formula>
    </cfRule>
    <cfRule type="expression" priority="98" aboveAverage="0" equalAverage="0" bottom="0" percent="0" rank="0" text="" dxfId="7">
      <formula>F7="Monitoramento continuo"</formula>
    </cfRule>
    <cfRule type="expression" priority="99" aboveAverage="0" equalAverage="0" bottom="0" percent="0" rank="0" text="" dxfId="8">
      <formula>F7="Em desenvolvimento"</formula>
    </cfRule>
    <cfRule type="expression" priority="100" aboveAverage="0" equalAverage="0" bottom="0" percent="0" rank="0" text="" dxfId="8">
      <formula>F7="Em implantacao"</formula>
    </cfRule>
    <cfRule type="expression" priority="101" aboveAverage="0" equalAverage="0" bottom="0" percent="0" rank="0" text="" dxfId="9">
      <formula>F7="Nao iniciado"</formula>
    </cfRule>
  </conditionalFormatting>
  <conditionalFormatting sqref="G7">
    <cfRule type="expression" priority="102" aboveAverage="0" equalAverage="0" bottom="0" percent="0" rank="0" text="" dxfId="7">
      <formula>G7="Implantado"</formula>
    </cfRule>
    <cfRule type="expression" priority="103" aboveAverage="0" equalAverage="0" bottom="0" percent="0" rank="0" text="" dxfId="7">
      <formula>G7="Monitoramento continuo"</formula>
    </cfRule>
    <cfRule type="expression" priority="104" aboveAverage="0" equalAverage="0" bottom="0" percent="0" rank="0" text="" dxfId="8">
      <formula>G7="Em desenvolvimento"</formula>
    </cfRule>
    <cfRule type="expression" priority="105" aboveAverage="0" equalAverage="0" bottom="0" percent="0" rank="0" text="" dxfId="8">
      <formula>G7="Em implantacao"</formula>
    </cfRule>
    <cfRule type="expression" priority="106" aboveAverage="0" equalAverage="0" bottom="0" percent="0" rank="0" text="" dxfId="9">
      <formula>G7="Nao iniciado"</formula>
    </cfRule>
  </conditionalFormatting>
  <conditionalFormatting sqref="H7">
    <cfRule type="expression" priority="107" aboveAverage="0" equalAverage="0" bottom="0" percent="0" rank="0" text="" dxfId="7">
      <formula>H7="Implantado"</formula>
    </cfRule>
    <cfRule type="expression" priority="108" aboveAverage="0" equalAverage="0" bottom="0" percent="0" rank="0" text="" dxfId="7">
      <formula>H7="Monitoramento continuo"</formula>
    </cfRule>
    <cfRule type="expression" priority="109" aboveAverage="0" equalAverage="0" bottom="0" percent="0" rank="0" text="" dxfId="8">
      <formula>H7="Em desenvolvimento"</formula>
    </cfRule>
    <cfRule type="expression" priority="110" aboveAverage="0" equalAverage="0" bottom="0" percent="0" rank="0" text="" dxfId="8">
      <formula>H7="Em implantacao"</formula>
    </cfRule>
    <cfRule type="expression" priority="111" aboveAverage="0" equalAverage="0" bottom="0" percent="0" rank="0" text="" dxfId="9">
      <formula>H7="Nao iniciado"</formula>
    </cfRule>
  </conditionalFormatting>
  <conditionalFormatting sqref="I7">
    <cfRule type="expression" priority="112" aboveAverage="0" equalAverage="0" bottom="0" percent="0" rank="0" text="" dxfId="7">
      <formula>I7="Implantado"</formula>
    </cfRule>
    <cfRule type="expression" priority="113" aboveAverage="0" equalAverage="0" bottom="0" percent="0" rank="0" text="" dxfId="7">
      <formula>I7="Monitoramento continuo"</formula>
    </cfRule>
    <cfRule type="expression" priority="114" aboveAverage="0" equalAverage="0" bottom="0" percent="0" rank="0" text="" dxfId="8">
      <formula>I7="Em desenvolvimento"</formula>
    </cfRule>
    <cfRule type="expression" priority="115" aboveAverage="0" equalAverage="0" bottom="0" percent="0" rank="0" text="" dxfId="8">
      <formula>I7="Em implantacao"</formula>
    </cfRule>
    <cfRule type="expression" priority="116" aboveAverage="0" equalAverage="0" bottom="0" percent="0" rank="0" text="" dxfId="9">
      <formula>I7="Nao iniciado"</formula>
    </cfRule>
  </conditionalFormatting>
  <conditionalFormatting sqref="J7">
    <cfRule type="expression" priority="117" aboveAverage="0" equalAverage="0" bottom="0" percent="0" rank="0" text="" dxfId="7">
      <formula>J7="Implantado"</formula>
    </cfRule>
    <cfRule type="expression" priority="118" aboveAverage="0" equalAverage="0" bottom="0" percent="0" rank="0" text="" dxfId="7">
      <formula>J7="Monitoramento continuo"</formula>
    </cfRule>
    <cfRule type="expression" priority="119" aboveAverage="0" equalAverage="0" bottom="0" percent="0" rank="0" text="" dxfId="8">
      <formula>J7="Em desenvolvimento"</formula>
    </cfRule>
    <cfRule type="expression" priority="120" aboveAverage="0" equalAverage="0" bottom="0" percent="0" rank="0" text="" dxfId="8">
      <formula>J7="Em implantacao"</formula>
    </cfRule>
    <cfRule type="expression" priority="121" aboveAverage="0" equalAverage="0" bottom="0" percent="0" rank="0" text="" dxfId="9">
      <formula>J7="Nao iniciado"</formula>
    </cfRule>
  </conditionalFormatting>
  <conditionalFormatting sqref="C8">
    <cfRule type="expression" priority="122" aboveAverage="0" equalAverage="0" bottom="0" percent="0" rank="0" text="" dxfId="7">
      <formula>C8="Implantado"</formula>
    </cfRule>
    <cfRule type="expression" priority="123" aboveAverage="0" equalAverage="0" bottom="0" percent="0" rank="0" text="" dxfId="7">
      <formula>C8="Monitoramento continuo"</formula>
    </cfRule>
    <cfRule type="expression" priority="124" aboveAverage="0" equalAverage="0" bottom="0" percent="0" rank="0" text="" dxfId="8">
      <formula>C8="Em desenvolvimento"</formula>
    </cfRule>
    <cfRule type="expression" priority="125" aboveAverage="0" equalAverage="0" bottom="0" percent="0" rank="0" text="" dxfId="8">
      <formula>C8="Em implantacao"</formula>
    </cfRule>
    <cfRule type="expression" priority="126" aboveAverage="0" equalAverage="0" bottom="0" percent="0" rank="0" text="" dxfId="9">
      <formula>C8="Nao iniciado"</formula>
    </cfRule>
  </conditionalFormatting>
  <conditionalFormatting sqref="D8">
    <cfRule type="expression" priority="127" aboveAverage="0" equalAverage="0" bottom="0" percent="0" rank="0" text="" dxfId="7">
      <formula>D8="Implantado"</formula>
    </cfRule>
    <cfRule type="expression" priority="128" aboveAverage="0" equalAverage="0" bottom="0" percent="0" rank="0" text="" dxfId="7">
      <formula>D8="Monitoramento continuo"</formula>
    </cfRule>
    <cfRule type="expression" priority="129" aboveAverage="0" equalAverage="0" bottom="0" percent="0" rank="0" text="" dxfId="8">
      <formula>D8="Em desenvolvimento"</formula>
    </cfRule>
    <cfRule type="expression" priority="130" aboveAverage="0" equalAverage="0" bottom="0" percent="0" rank="0" text="" dxfId="8">
      <formula>D8="Em implantacao"</formula>
    </cfRule>
    <cfRule type="expression" priority="131" aboveAverage="0" equalAverage="0" bottom="0" percent="0" rank="0" text="" dxfId="9">
      <formula>D8="Nao iniciado"</formula>
    </cfRule>
  </conditionalFormatting>
  <conditionalFormatting sqref="E8">
    <cfRule type="expression" priority="132" aboveAverage="0" equalAverage="0" bottom="0" percent="0" rank="0" text="" dxfId="7">
      <formula>E8="Implantado"</formula>
    </cfRule>
    <cfRule type="expression" priority="133" aboveAverage="0" equalAverage="0" bottom="0" percent="0" rank="0" text="" dxfId="7">
      <formula>E8="Monitoramento continuo"</formula>
    </cfRule>
    <cfRule type="expression" priority="134" aboveAverage="0" equalAverage="0" bottom="0" percent="0" rank="0" text="" dxfId="8">
      <formula>E8="Em desenvolvimento"</formula>
    </cfRule>
    <cfRule type="expression" priority="135" aboveAverage="0" equalAverage="0" bottom="0" percent="0" rank="0" text="" dxfId="8">
      <formula>E8="Em implantacao"</formula>
    </cfRule>
    <cfRule type="expression" priority="136" aboveAverage="0" equalAverage="0" bottom="0" percent="0" rank="0" text="" dxfId="9">
      <formula>E8="Nao iniciado"</formula>
    </cfRule>
  </conditionalFormatting>
  <conditionalFormatting sqref="F8">
    <cfRule type="expression" priority="137" aboveAverage="0" equalAverage="0" bottom="0" percent="0" rank="0" text="" dxfId="7">
      <formula>F8="Implantado"</formula>
    </cfRule>
    <cfRule type="expression" priority="138" aboveAverage="0" equalAverage="0" bottom="0" percent="0" rank="0" text="" dxfId="7">
      <formula>F8="Monitoramento continuo"</formula>
    </cfRule>
    <cfRule type="expression" priority="139" aboveAverage="0" equalAverage="0" bottom="0" percent="0" rank="0" text="" dxfId="8">
      <formula>F8="Em desenvolvimento"</formula>
    </cfRule>
    <cfRule type="expression" priority="140" aboveAverage="0" equalAverage="0" bottom="0" percent="0" rank="0" text="" dxfId="8">
      <formula>F8="Em implantacao"</formula>
    </cfRule>
    <cfRule type="expression" priority="141" aboveAverage="0" equalAverage="0" bottom="0" percent="0" rank="0" text="" dxfId="9">
      <formula>F8="Nao iniciado"</formula>
    </cfRule>
  </conditionalFormatting>
  <conditionalFormatting sqref="G8">
    <cfRule type="expression" priority="142" aboveAverage="0" equalAverage="0" bottom="0" percent="0" rank="0" text="" dxfId="7">
      <formula>G8="Implantado"</formula>
    </cfRule>
    <cfRule type="expression" priority="143" aboveAverage="0" equalAverage="0" bottom="0" percent="0" rank="0" text="" dxfId="7">
      <formula>G8="Monitoramento continuo"</formula>
    </cfRule>
    <cfRule type="expression" priority="144" aboveAverage="0" equalAverage="0" bottom="0" percent="0" rank="0" text="" dxfId="8">
      <formula>G8="Em desenvolvimento"</formula>
    </cfRule>
    <cfRule type="expression" priority="145" aboveAverage="0" equalAverage="0" bottom="0" percent="0" rank="0" text="" dxfId="8">
      <formula>G8="Em implantacao"</formula>
    </cfRule>
    <cfRule type="expression" priority="146" aboveAverage="0" equalAverage="0" bottom="0" percent="0" rank="0" text="" dxfId="9">
      <formula>G8="Nao iniciado"</formula>
    </cfRule>
  </conditionalFormatting>
  <conditionalFormatting sqref="H8">
    <cfRule type="expression" priority="147" aboveAverage="0" equalAverage="0" bottom="0" percent="0" rank="0" text="" dxfId="7">
      <formula>H8="Implantado"</formula>
    </cfRule>
    <cfRule type="expression" priority="148" aboveAverage="0" equalAverage="0" bottom="0" percent="0" rank="0" text="" dxfId="7">
      <formula>H8="Monitoramento continuo"</formula>
    </cfRule>
    <cfRule type="expression" priority="149" aboveAverage="0" equalAverage="0" bottom="0" percent="0" rank="0" text="" dxfId="8">
      <formula>H8="Em desenvolvimento"</formula>
    </cfRule>
    <cfRule type="expression" priority="150" aboveAverage="0" equalAverage="0" bottom="0" percent="0" rank="0" text="" dxfId="8">
      <formula>H8="Em implantacao"</formula>
    </cfRule>
    <cfRule type="expression" priority="151" aboveAverage="0" equalAverage="0" bottom="0" percent="0" rank="0" text="" dxfId="9">
      <formula>H8="Nao iniciado"</formula>
    </cfRule>
  </conditionalFormatting>
  <conditionalFormatting sqref="I8">
    <cfRule type="expression" priority="152" aboveAverage="0" equalAverage="0" bottom="0" percent="0" rank="0" text="" dxfId="7">
      <formula>I8="Implantado"</formula>
    </cfRule>
    <cfRule type="expression" priority="153" aboveAverage="0" equalAverage="0" bottom="0" percent="0" rank="0" text="" dxfId="7">
      <formula>I8="Monitoramento continuo"</formula>
    </cfRule>
    <cfRule type="expression" priority="154" aboveAverage="0" equalAverage="0" bottom="0" percent="0" rank="0" text="" dxfId="8">
      <formula>I8="Em desenvolvimento"</formula>
    </cfRule>
    <cfRule type="expression" priority="155" aboveAverage="0" equalAverage="0" bottom="0" percent="0" rank="0" text="" dxfId="8">
      <formula>I8="Em implantacao"</formula>
    </cfRule>
    <cfRule type="expression" priority="156" aboveAverage="0" equalAverage="0" bottom="0" percent="0" rank="0" text="" dxfId="9">
      <formula>I8="Nao iniciado"</formula>
    </cfRule>
  </conditionalFormatting>
  <conditionalFormatting sqref="J8">
    <cfRule type="expression" priority="157" aboveAverage="0" equalAverage="0" bottom="0" percent="0" rank="0" text="" dxfId="7">
      <formula>J8="Implantado"</formula>
    </cfRule>
    <cfRule type="expression" priority="158" aboveAverage="0" equalAverage="0" bottom="0" percent="0" rank="0" text="" dxfId="7">
      <formula>J8="Monitoramento continuo"</formula>
    </cfRule>
    <cfRule type="expression" priority="159" aboveAverage="0" equalAverage="0" bottom="0" percent="0" rank="0" text="" dxfId="8">
      <formula>J8="Em desenvolvimento"</formula>
    </cfRule>
    <cfRule type="expression" priority="160" aboveAverage="0" equalAverage="0" bottom="0" percent="0" rank="0" text="" dxfId="8">
      <formula>J8="Em implantacao"</formula>
    </cfRule>
    <cfRule type="expression" priority="161" aboveAverage="0" equalAverage="0" bottom="0" percent="0" rank="0" text="" dxfId="9">
      <formula>J8="Nao iniciado"</formula>
    </cfRule>
  </conditionalFormatting>
  <conditionalFormatting sqref="C10">
    <cfRule type="expression" priority="162" aboveAverage="0" equalAverage="0" bottom="0" percent="0" rank="0" text="" dxfId="7">
      <formula>C10="Implantado"</formula>
    </cfRule>
    <cfRule type="expression" priority="163" aboveAverage="0" equalAverage="0" bottom="0" percent="0" rank="0" text="" dxfId="7">
      <formula>C10="Monitoramento continuo"</formula>
    </cfRule>
    <cfRule type="expression" priority="164" aboveAverage="0" equalAverage="0" bottom="0" percent="0" rank="0" text="" dxfId="8">
      <formula>C10="Em desenvolvimento"</formula>
    </cfRule>
    <cfRule type="expression" priority="165" aboveAverage="0" equalAverage="0" bottom="0" percent="0" rank="0" text="" dxfId="8">
      <formula>C10="Em implantacao"</formula>
    </cfRule>
    <cfRule type="expression" priority="166" aboveAverage="0" equalAverage="0" bottom="0" percent="0" rank="0" text="" dxfId="9">
      <formula>C10="Nao iniciado"</formula>
    </cfRule>
  </conditionalFormatting>
  <conditionalFormatting sqref="D10">
    <cfRule type="expression" priority="167" aboveAverage="0" equalAverage="0" bottom="0" percent="0" rank="0" text="" dxfId="7">
      <formula>D10="Implantado"</formula>
    </cfRule>
    <cfRule type="expression" priority="168" aboveAverage="0" equalAverage="0" bottom="0" percent="0" rank="0" text="" dxfId="7">
      <formula>D10="Monitoramento continuo"</formula>
    </cfRule>
    <cfRule type="expression" priority="169" aboveAverage="0" equalAverage="0" bottom="0" percent="0" rank="0" text="" dxfId="8">
      <formula>D10="Em desenvolvimento"</formula>
    </cfRule>
    <cfRule type="expression" priority="170" aboveAverage="0" equalAverage="0" bottom="0" percent="0" rank="0" text="" dxfId="8">
      <formula>D10="Em implantacao"</formula>
    </cfRule>
    <cfRule type="expression" priority="171" aboveAverage="0" equalAverage="0" bottom="0" percent="0" rank="0" text="" dxfId="9">
      <formula>D10="Nao iniciado"</formula>
    </cfRule>
  </conditionalFormatting>
  <conditionalFormatting sqref="E10">
    <cfRule type="expression" priority="172" aboveAverage="0" equalAverage="0" bottom="0" percent="0" rank="0" text="" dxfId="7">
      <formula>E10="Implantado"</formula>
    </cfRule>
    <cfRule type="expression" priority="173" aboveAverage="0" equalAverage="0" bottom="0" percent="0" rank="0" text="" dxfId="7">
      <formula>E10="Monitoramento continuo"</formula>
    </cfRule>
    <cfRule type="expression" priority="174" aboveAverage="0" equalAverage="0" bottom="0" percent="0" rank="0" text="" dxfId="8">
      <formula>E10="Em desenvolvimento"</formula>
    </cfRule>
    <cfRule type="expression" priority="175" aboveAverage="0" equalAverage="0" bottom="0" percent="0" rank="0" text="" dxfId="8">
      <formula>E10="Em implantacao"</formula>
    </cfRule>
    <cfRule type="expression" priority="176" aboveAverage="0" equalAverage="0" bottom="0" percent="0" rank="0" text="" dxfId="9">
      <formula>E10="Nao iniciado"</formula>
    </cfRule>
  </conditionalFormatting>
  <conditionalFormatting sqref="F10">
    <cfRule type="expression" priority="177" aboveAverage="0" equalAverage="0" bottom="0" percent="0" rank="0" text="" dxfId="7">
      <formula>F10="Implantado"</formula>
    </cfRule>
    <cfRule type="expression" priority="178" aboveAverage="0" equalAverage="0" bottom="0" percent="0" rank="0" text="" dxfId="7">
      <formula>F10="Monitoramento continuo"</formula>
    </cfRule>
    <cfRule type="expression" priority="179" aboveAverage="0" equalAverage="0" bottom="0" percent="0" rank="0" text="" dxfId="8">
      <formula>F10="Em desenvolvimento"</formula>
    </cfRule>
    <cfRule type="expression" priority="180" aboveAverage="0" equalAverage="0" bottom="0" percent="0" rank="0" text="" dxfId="8">
      <formula>F10="Em implantacao"</formula>
    </cfRule>
    <cfRule type="expression" priority="181" aboveAverage="0" equalAverage="0" bottom="0" percent="0" rank="0" text="" dxfId="9">
      <formula>F10="Nao iniciado"</formula>
    </cfRule>
  </conditionalFormatting>
  <conditionalFormatting sqref="G10">
    <cfRule type="expression" priority="182" aboveAverage="0" equalAverage="0" bottom="0" percent="0" rank="0" text="" dxfId="7">
      <formula>G10="Implantado"</formula>
    </cfRule>
    <cfRule type="expression" priority="183" aboveAverage="0" equalAverage="0" bottom="0" percent="0" rank="0" text="" dxfId="7">
      <formula>G10="Monitoramento continuo"</formula>
    </cfRule>
    <cfRule type="expression" priority="184" aboveAverage="0" equalAverage="0" bottom="0" percent="0" rank="0" text="" dxfId="8">
      <formula>G10="Em desenvolvimento"</formula>
    </cfRule>
    <cfRule type="expression" priority="185" aboveAverage="0" equalAverage="0" bottom="0" percent="0" rank="0" text="" dxfId="8">
      <formula>G10="Em implantacao"</formula>
    </cfRule>
    <cfRule type="expression" priority="186" aboveAverage="0" equalAverage="0" bottom="0" percent="0" rank="0" text="" dxfId="9">
      <formula>G10="Nao iniciado"</formula>
    </cfRule>
  </conditionalFormatting>
  <conditionalFormatting sqref="H10">
    <cfRule type="expression" priority="187" aboveAverage="0" equalAverage="0" bottom="0" percent="0" rank="0" text="" dxfId="7">
      <formula>H10="Implantado"</formula>
    </cfRule>
    <cfRule type="expression" priority="188" aboveAverage="0" equalAverage="0" bottom="0" percent="0" rank="0" text="" dxfId="7">
      <formula>H10="Monitoramento continuo"</formula>
    </cfRule>
    <cfRule type="expression" priority="189" aboveAverage="0" equalAverage="0" bottom="0" percent="0" rank="0" text="" dxfId="8">
      <formula>H10="Em desenvolvimento"</formula>
    </cfRule>
    <cfRule type="expression" priority="190" aboveAverage="0" equalAverage="0" bottom="0" percent="0" rank="0" text="" dxfId="8">
      <formula>H10="Em implantacao"</formula>
    </cfRule>
    <cfRule type="expression" priority="191" aboveAverage="0" equalAverage="0" bottom="0" percent="0" rank="0" text="" dxfId="9">
      <formula>H10="Nao iniciado"</formula>
    </cfRule>
  </conditionalFormatting>
  <conditionalFormatting sqref="I10">
    <cfRule type="expression" priority="192" aboveAverage="0" equalAverage="0" bottom="0" percent="0" rank="0" text="" dxfId="7">
      <formula>I10="Implantado"</formula>
    </cfRule>
    <cfRule type="expression" priority="193" aboveAverage="0" equalAverage="0" bottom="0" percent="0" rank="0" text="" dxfId="7">
      <formula>I10="Monitoramento continuo"</formula>
    </cfRule>
    <cfRule type="expression" priority="194" aboveAverage="0" equalAverage="0" bottom="0" percent="0" rank="0" text="" dxfId="8">
      <formula>I10="Em desenvolvimento"</formula>
    </cfRule>
    <cfRule type="expression" priority="195" aboveAverage="0" equalAverage="0" bottom="0" percent="0" rank="0" text="" dxfId="8">
      <formula>I10="Em implantacao"</formula>
    </cfRule>
    <cfRule type="expression" priority="196" aboveAverage="0" equalAverage="0" bottom="0" percent="0" rank="0" text="" dxfId="9">
      <formula>I10="Nao iniciado"</formula>
    </cfRule>
  </conditionalFormatting>
  <conditionalFormatting sqref="J10">
    <cfRule type="expression" priority="197" aboveAverage="0" equalAverage="0" bottom="0" percent="0" rank="0" text="" dxfId="7">
      <formula>J10="Implantado"</formula>
    </cfRule>
    <cfRule type="expression" priority="198" aboveAverage="0" equalAverage="0" bottom="0" percent="0" rank="0" text="" dxfId="7">
      <formula>J10="Monitoramento continuo"</formula>
    </cfRule>
    <cfRule type="expression" priority="199" aboveAverage="0" equalAverage="0" bottom="0" percent="0" rank="0" text="" dxfId="8">
      <formula>J10="Em desenvolvimento"</formula>
    </cfRule>
    <cfRule type="expression" priority="200" aboveAverage="0" equalAverage="0" bottom="0" percent="0" rank="0" text="" dxfId="8">
      <formula>J10="Em implantacao"</formula>
    </cfRule>
    <cfRule type="expression" priority="201" aboveAverage="0" equalAverage="0" bottom="0" percent="0" rank="0" text="" dxfId="9">
      <formula>J10="Nao iniciado"</formula>
    </cfRule>
  </conditionalFormatting>
  <conditionalFormatting sqref="C11">
    <cfRule type="expression" priority="202" aboveAverage="0" equalAverage="0" bottom="0" percent="0" rank="0" text="" dxfId="7">
      <formula>C11="Implantado"</formula>
    </cfRule>
    <cfRule type="expression" priority="203" aboveAverage="0" equalAverage="0" bottom="0" percent="0" rank="0" text="" dxfId="7">
      <formula>C11="Monitoramento continuo"</formula>
    </cfRule>
    <cfRule type="expression" priority="204" aboveAverage="0" equalAverage="0" bottom="0" percent="0" rank="0" text="" dxfId="8">
      <formula>C11="Em desenvolvimento"</formula>
    </cfRule>
    <cfRule type="expression" priority="205" aboveAverage="0" equalAverage="0" bottom="0" percent="0" rank="0" text="" dxfId="8">
      <formula>C11="Em implantacao"</formula>
    </cfRule>
    <cfRule type="expression" priority="206" aboveAverage="0" equalAverage="0" bottom="0" percent="0" rank="0" text="" dxfId="9">
      <formula>C11="Nao iniciado"</formula>
    </cfRule>
  </conditionalFormatting>
  <conditionalFormatting sqref="D11">
    <cfRule type="expression" priority="207" aboveAverage="0" equalAverage="0" bottom="0" percent="0" rank="0" text="" dxfId="7">
      <formula>D11="Implantado"</formula>
    </cfRule>
    <cfRule type="expression" priority="208" aboveAverage="0" equalAverage="0" bottom="0" percent="0" rank="0" text="" dxfId="7">
      <formula>D11="Monitoramento continuo"</formula>
    </cfRule>
    <cfRule type="expression" priority="209" aboveAverage="0" equalAverage="0" bottom="0" percent="0" rank="0" text="" dxfId="8">
      <formula>D11="Em desenvolvimento"</formula>
    </cfRule>
    <cfRule type="expression" priority="210" aboveAverage="0" equalAverage="0" bottom="0" percent="0" rank="0" text="" dxfId="8">
      <formula>D11="Em implantacao"</formula>
    </cfRule>
    <cfRule type="expression" priority="211" aboveAverage="0" equalAverage="0" bottom="0" percent="0" rank="0" text="" dxfId="9">
      <formula>D11="Nao iniciado"</formula>
    </cfRule>
  </conditionalFormatting>
  <conditionalFormatting sqref="E11">
    <cfRule type="expression" priority="212" aboveAverage="0" equalAverage="0" bottom="0" percent="0" rank="0" text="" dxfId="7">
      <formula>E11="Implantado"</formula>
    </cfRule>
    <cfRule type="expression" priority="213" aboveAverage="0" equalAverage="0" bottom="0" percent="0" rank="0" text="" dxfId="7">
      <formula>E11="Monitoramento continuo"</formula>
    </cfRule>
    <cfRule type="expression" priority="214" aboveAverage="0" equalAverage="0" bottom="0" percent="0" rank="0" text="" dxfId="8">
      <formula>E11="Em desenvolvimento"</formula>
    </cfRule>
    <cfRule type="expression" priority="215" aboveAverage="0" equalAverage="0" bottom="0" percent="0" rank="0" text="" dxfId="8">
      <formula>E11="Em implantacao"</formula>
    </cfRule>
    <cfRule type="expression" priority="216" aboveAverage="0" equalAverage="0" bottom="0" percent="0" rank="0" text="" dxfId="9">
      <formula>E11="Nao iniciado"</formula>
    </cfRule>
  </conditionalFormatting>
  <conditionalFormatting sqref="F11">
    <cfRule type="expression" priority="217" aboveAverage="0" equalAverage="0" bottom="0" percent="0" rank="0" text="" dxfId="7">
      <formula>F11="Implantado"</formula>
    </cfRule>
    <cfRule type="expression" priority="218" aboveAverage="0" equalAverage="0" bottom="0" percent="0" rank="0" text="" dxfId="7">
      <formula>F11="Monitoramento continuo"</formula>
    </cfRule>
    <cfRule type="expression" priority="219" aboveAverage="0" equalAverage="0" bottom="0" percent="0" rank="0" text="" dxfId="8">
      <formula>F11="Em desenvolvimento"</formula>
    </cfRule>
    <cfRule type="expression" priority="220" aboveAverage="0" equalAverage="0" bottom="0" percent="0" rank="0" text="" dxfId="8">
      <formula>F11="Em implantacao"</formula>
    </cfRule>
    <cfRule type="expression" priority="221" aboveAverage="0" equalAverage="0" bottom="0" percent="0" rank="0" text="" dxfId="9">
      <formula>F11="Nao iniciado"</formula>
    </cfRule>
  </conditionalFormatting>
  <conditionalFormatting sqref="G11">
    <cfRule type="expression" priority="222" aboveAverage="0" equalAverage="0" bottom="0" percent="0" rank="0" text="" dxfId="7">
      <formula>G11="Implantado"</formula>
    </cfRule>
    <cfRule type="expression" priority="223" aboveAverage="0" equalAverage="0" bottom="0" percent="0" rank="0" text="" dxfId="7">
      <formula>G11="Monitoramento continuo"</formula>
    </cfRule>
    <cfRule type="expression" priority="224" aboveAverage="0" equalAverage="0" bottom="0" percent="0" rank="0" text="" dxfId="8">
      <formula>G11="Em desenvolvimento"</formula>
    </cfRule>
    <cfRule type="expression" priority="225" aboveAverage="0" equalAverage="0" bottom="0" percent="0" rank="0" text="" dxfId="8">
      <formula>G11="Em implantacao"</formula>
    </cfRule>
    <cfRule type="expression" priority="226" aboveAverage="0" equalAverage="0" bottom="0" percent="0" rank="0" text="" dxfId="9">
      <formula>G11="Nao iniciado"</formula>
    </cfRule>
  </conditionalFormatting>
  <conditionalFormatting sqref="H11">
    <cfRule type="expression" priority="227" aboveAverage="0" equalAverage="0" bottom="0" percent="0" rank="0" text="" dxfId="7">
      <formula>H11="Implantado"</formula>
    </cfRule>
    <cfRule type="expression" priority="228" aboveAverage="0" equalAverage="0" bottom="0" percent="0" rank="0" text="" dxfId="7">
      <formula>H11="Monitoramento continuo"</formula>
    </cfRule>
    <cfRule type="expression" priority="229" aboveAverage="0" equalAverage="0" bottom="0" percent="0" rank="0" text="" dxfId="8">
      <formula>H11="Em desenvolvimento"</formula>
    </cfRule>
    <cfRule type="expression" priority="230" aboveAverage="0" equalAverage="0" bottom="0" percent="0" rank="0" text="" dxfId="8">
      <formula>H11="Em implantacao"</formula>
    </cfRule>
    <cfRule type="expression" priority="231" aboveAverage="0" equalAverage="0" bottom="0" percent="0" rank="0" text="" dxfId="9">
      <formula>H11="Nao iniciado"</formula>
    </cfRule>
  </conditionalFormatting>
  <conditionalFormatting sqref="I11">
    <cfRule type="expression" priority="232" aboveAverage="0" equalAverage="0" bottom="0" percent="0" rank="0" text="" dxfId="7">
      <formula>I11="Implantado"</formula>
    </cfRule>
    <cfRule type="expression" priority="233" aboveAverage="0" equalAverage="0" bottom="0" percent="0" rank="0" text="" dxfId="7">
      <formula>I11="Monitoramento continuo"</formula>
    </cfRule>
    <cfRule type="expression" priority="234" aboveAverage="0" equalAverage="0" bottom="0" percent="0" rank="0" text="" dxfId="8">
      <formula>I11="Em desenvolvimento"</formula>
    </cfRule>
    <cfRule type="expression" priority="235" aboveAverage="0" equalAverage="0" bottom="0" percent="0" rank="0" text="" dxfId="8">
      <formula>I11="Em implantacao"</formula>
    </cfRule>
    <cfRule type="expression" priority="236" aboveAverage="0" equalAverage="0" bottom="0" percent="0" rank="0" text="" dxfId="9">
      <formula>I11="Nao iniciado"</formula>
    </cfRule>
  </conditionalFormatting>
  <conditionalFormatting sqref="J11">
    <cfRule type="expression" priority="237" aboveAverage="0" equalAverage="0" bottom="0" percent="0" rank="0" text="" dxfId="7">
      <formula>J11="Implantado"</formula>
    </cfRule>
    <cfRule type="expression" priority="238" aboveAverage="0" equalAverage="0" bottom="0" percent="0" rank="0" text="" dxfId="7">
      <formula>J11="Monitoramento continuo"</formula>
    </cfRule>
    <cfRule type="expression" priority="239" aboveAverage="0" equalAverage="0" bottom="0" percent="0" rank="0" text="" dxfId="8">
      <formula>J11="Em desenvolvimento"</formula>
    </cfRule>
    <cfRule type="expression" priority="240" aboveAverage="0" equalAverage="0" bottom="0" percent="0" rank="0" text="" dxfId="8">
      <formula>J11="Em implantacao"</formula>
    </cfRule>
    <cfRule type="expression" priority="241" aboveAverage="0" equalAverage="0" bottom="0" percent="0" rank="0" text="" dxfId="9">
      <formula>J11="Nao iniciado"</formula>
    </cfRule>
  </conditionalFormatting>
  <conditionalFormatting sqref="C12">
    <cfRule type="expression" priority="242" aboveAverage="0" equalAverage="0" bottom="0" percent="0" rank="0" text="" dxfId="7">
      <formula>C12="Implantado"</formula>
    </cfRule>
    <cfRule type="expression" priority="243" aboveAverage="0" equalAverage="0" bottom="0" percent="0" rank="0" text="" dxfId="7">
      <formula>C12="Monitoramento continuo"</formula>
    </cfRule>
    <cfRule type="expression" priority="244" aboveAverage="0" equalAverage="0" bottom="0" percent="0" rank="0" text="" dxfId="8">
      <formula>C12="Em desenvolvimento"</formula>
    </cfRule>
    <cfRule type="expression" priority="245" aboveAverage="0" equalAverage="0" bottom="0" percent="0" rank="0" text="" dxfId="8">
      <formula>C12="Em implantacao"</formula>
    </cfRule>
    <cfRule type="expression" priority="246" aboveAverage="0" equalAverage="0" bottom="0" percent="0" rank="0" text="" dxfId="9">
      <formula>C12="Nao iniciado"</formula>
    </cfRule>
  </conditionalFormatting>
  <conditionalFormatting sqref="D12">
    <cfRule type="expression" priority="247" aboveAverage="0" equalAverage="0" bottom="0" percent="0" rank="0" text="" dxfId="7">
      <formula>D12="Implantado"</formula>
    </cfRule>
    <cfRule type="expression" priority="248" aboveAverage="0" equalAverage="0" bottom="0" percent="0" rank="0" text="" dxfId="7">
      <formula>D12="Monitoramento continuo"</formula>
    </cfRule>
    <cfRule type="expression" priority="249" aboveAverage="0" equalAverage="0" bottom="0" percent="0" rank="0" text="" dxfId="8">
      <formula>D12="Em desenvolvimento"</formula>
    </cfRule>
    <cfRule type="expression" priority="250" aboveAverage="0" equalAverage="0" bottom="0" percent="0" rank="0" text="" dxfId="8">
      <formula>D12="Em implantacao"</formula>
    </cfRule>
    <cfRule type="expression" priority="251" aboveAverage="0" equalAverage="0" bottom="0" percent="0" rank="0" text="" dxfId="9">
      <formula>D12="Nao iniciado"</formula>
    </cfRule>
  </conditionalFormatting>
  <conditionalFormatting sqref="E12">
    <cfRule type="expression" priority="252" aboveAverage="0" equalAverage="0" bottom="0" percent="0" rank="0" text="" dxfId="7">
      <formula>E12="Implantado"</formula>
    </cfRule>
    <cfRule type="expression" priority="253" aboveAverage="0" equalAverage="0" bottom="0" percent="0" rank="0" text="" dxfId="7">
      <formula>E12="Monitoramento continuo"</formula>
    </cfRule>
    <cfRule type="expression" priority="254" aboveAverage="0" equalAverage="0" bottom="0" percent="0" rank="0" text="" dxfId="8">
      <formula>E12="Em desenvolvimento"</formula>
    </cfRule>
    <cfRule type="expression" priority="255" aboveAverage="0" equalAverage="0" bottom="0" percent="0" rank="0" text="" dxfId="8">
      <formula>E12="Em implantacao"</formula>
    </cfRule>
    <cfRule type="expression" priority="256" aboveAverage="0" equalAverage="0" bottom="0" percent="0" rank="0" text="" dxfId="9">
      <formula>E12="Nao iniciado"</formula>
    </cfRule>
  </conditionalFormatting>
  <conditionalFormatting sqref="F12">
    <cfRule type="expression" priority="257" aboveAverage="0" equalAverage="0" bottom="0" percent="0" rank="0" text="" dxfId="7">
      <formula>F12="Implantado"</formula>
    </cfRule>
    <cfRule type="expression" priority="258" aboveAverage="0" equalAverage="0" bottom="0" percent="0" rank="0" text="" dxfId="7">
      <formula>F12="Monitoramento continuo"</formula>
    </cfRule>
    <cfRule type="expression" priority="259" aboveAverage="0" equalAverage="0" bottom="0" percent="0" rank="0" text="" dxfId="8">
      <formula>F12="Em desenvolvimento"</formula>
    </cfRule>
    <cfRule type="expression" priority="260" aboveAverage="0" equalAverage="0" bottom="0" percent="0" rank="0" text="" dxfId="8">
      <formula>F12="Em implantacao"</formula>
    </cfRule>
    <cfRule type="expression" priority="261" aboveAverage="0" equalAverage="0" bottom="0" percent="0" rank="0" text="" dxfId="9">
      <formula>F12="Nao iniciado"</formula>
    </cfRule>
  </conditionalFormatting>
  <conditionalFormatting sqref="G12">
    <cfRule type="expression" priority="262" aboveAverage="0" equalAverage="0" bottom="0" percent="0" rank="0" text="" dxfId="7">
      <formula>G12="Implantado"</formula>
    </cfRule>
    <cfRule type="expression" priority="263" aboveAverage="0" equalAverage="0" bottom="0" percent="0" rank="0" text="" dxfId="7">
      <formula>G12="Monitoramento continuo"</formula>
    </cfRule>
    <cfRule type="expression" priority="264" aboveAverage="0" equalAverage="0" bottom="0" percent="0" rank="0" text="" dxfId="8">
      <formula>G12="Em desenvolvimento"</formula>
    </cfRule>
    <cfRule type="expression" priority="265" aboveAverage="0" equalAverage="0" bottom="0" percent="0" rank="0" text="" dxfId="8">
      <formula>G12="Em implantacao"</formula>
    </cfRule>
    <cfRule type="expression" priority="266" aboveAverage="0" equalAverage="0" bottom="0" percent="0" rank="0" text="" dxfId="9">
      <formula>G12="Nao iniciado"</formula>
    </cfRule>
  </conditionalFormatting>
  <conditionalFormatting sqref="H12">
    <cfRule type="expression" priority="267" aboveAverage="0" equalAverage="0" bottom="0" percent="0" rank="0" text="" dxfId="7">
      <formula>H12="Implantado"</formula>
    </cfRule>
    <cfRule type="expression" priority="268" aboveAverage="0" equalAverage="0" bottom="0" percent="0" rank="0" text="" dxfId="7">
      <formula>H12="Monitoramento continuo"</formula>
    </cfRule>
    <cfRule type="expression" priority="269" aboveAverage="0" equalAverage="0" bottom="0" percent="0" rank="0" text="" dxfId="8">
      <formula>H12="Em desenvolvimento"</formula>
    </cfRule>
    <cfRule type="expression" priority="270" aboveAverage="0" equalAverage="0" bottom="0" percent="0" rank="0" text="" dxfId="8">
      <formula>H12="Em implantacao"</formula>
    </cfRule>
    <cfRule type="expression" priority="271" aboveAverage="0" equalAverage="0" bottom="0" percent="0" rank="0" text="" dxfId="9">
      <formula>H12="Nao iniciado"</formula>
    </cfRule>
  </conditionalFormatting>
  <conditionalFormatting sqref="I12">
    <cfRule type="expression" priority="272" aboveAverage="0" equalAverage="0" bottom="0" percent="0" rank="0" text="" dxfId="7">
      <formula>I12="Implantado"</formula>
    </cfRule>
    <cfRule type="expression" priority="273" aboveAverage="0" equalAverage="0" bottom="0" percent="0" rank="0" text="" dxfId="7">
      <formula>I12="Monitoramento continuo"</formula>
    </cfRule>
    <cfRule type="expression" priority="274" aboveAverage="0" equalAverage="0" bottom="0" percent="0" rank="0" text="" dxfId="8">
      <formula>I12="Em desenvolvimento"</formula>
    </cfRule>
    <cfRule type="expression" priority="275" aboveAverage="0" equalAverage="0" bottom="0" percent="0" rank="0" text="" dxfId="8">
      <formula>I12="Em implantacao"</formula>
    </cfRule>
    <cfRule type="expression" priority="276" aboveAverage="0" equalAverage="0" bottom="0" percent="0" rank="0" text="" dxfId="9">
      <formula>I12="Nao iniciado"</formula>
    </cfRule>
  </conditionalFormatting>
  <conditionalFormatting sqref="J12">
    <cfRule type="expression" priority="277" aboveAverage="0" equalAverage="0" bottom="0" percent="0" rank="0" text="" dxfId="7">
      <formula>J12="Implantado"</formula>
    </cfRule>
    <cfRule type="expression" priority="278" aboveAverage="0" equalAverage="0" bottom="0" percent="0" rank="0" text="" dxfId="7">
      <formula>J12="Monitoramento continuo"</formula>
    </cfRule>
    <cfRule type="expression" priority="279" aboveAverage="0" equalAverage="0" bottom="0" percent="0" rank="0" text="" dxfId="8">
      <formula>J12="Em desenvolvimento"</formula>
    </cfRule>
    <cfRule type="expression" priority="280" aboveAverage="0" equalAverage="0" bottom="0" percent="0" rank="0" text="" dxfId="8">
      <formula>J12="Em implantacao"</formula>
    </cfRule>
    <cfRule type="expression" priority="281" aboveAverage="0" equalAverage="0" bottom="0" percent="0" rank="0" text="" dxfId="9">
      <formula>J12="Nao iniciado"</formula>
    </cfRule>
  </conditionalFormatting>
  <conditionalFormatting sqref="C13">
    <cfRule type="expression" priority="282" aboveAverage="0" equalAverage="0" bottom="0" percent="0" rank="0" text="" dxfId="7">
      <formula>C13="Implantado"</formula>
    </cfRule>
    <cfRule type="expression" priority="283" aboveAverage="0" equalAverage="0" bottom="0" percent="0" rank="0" text="" dxfId="7">
      <formula>C13="Monitoramento continuo"</formula>
    </cfRule>
    <cfRule type="expression" priority="284" aboveAverage="0" equalAverage="0" bottom="0" percent="0" rank="0" text="" dxfId="8">
      <formula>C13="Em desenvolvimento"</formula>
    </cfRule>
    <cfRule type="expression" priority="285" aboveAverage="0" equalAverage="0" bottom="0" percent="0" rank="0" text="" dxfId="8">
      <formula>C13="Em implantacao"</formula>
    </cfRule>
    <cfRule type="expression" priority="286" aboveAverage="0" equalAverage="0" bottom="0" percent="0" rank="0" text="" dxfId="9">
      <formula>C13="Nao iniciado"</formula>
    </cfRule>
  </conditionalFormatting>
  <conditionalFormatting sqref="D13">
    <cfRule type="expression" priority="287" aboveAverage="0" equalAverage="0" bottom="0" percent="0" rank="0" text="" dxfId="7">
      <formula>D13="Implantado"</formula>
    </cfRule>
    <cfRule type="expression" priority="288" aboveAverage="0" equalAverage="0" bottom="0" percent="0" rank="0" text="" dxfId="7">
      <formula>D13="Monitoramento continuo"</formula>
    </cfRule>
    <cfRule type="expression" priority="289" aboveAverage="0" equalAverage="0" bottom="0" percent="0" rank="0" text="" dxfId="8">
      <formula>D13="Em desenvolvimento"</formula>
    </cfRule>
    <cfRule type="expression" priority="290" aboveAverage="0" equalAverage="0" bottom="0" percent="0" rank="0" text="" dxfId="8">
      <formula>D13="Em implantacao"</formula>
    </cfRule>
    <cfRule type="expression" priority="291" aboveAverage="0" equalAverage="0" bottom="0" percent="0" rank="0" text="" dxfId="9">
      <formula>D13="Nao iniciado"</formula>
    </cfRule>
  </conditionalFormatting>
  <conditionalFormatting sqref="E13">
    <cfRule type="expression" priority="292" aboveAverage="0" equalAverage="0" bottom="0" percent="0" rank="0" text="" dxfId="7">
      <formula>E13="Implantado"</formula>
    </cfRule>
    <cfRule type="expression" priority="293" aboveAverage="0" equalAverage="0" bottom="0" percent="0" rank="0" text="" dxfId="7">
      <formula>E13="Monitoramento continuo"</formula>
    </cfRule>
    <cfRule type="expression" priority="294" aboveAverage="0" equalAverage="0" bottom="0" percent="0" rank="0" text="" dxfId="8">
      <formula>E13="Em desenvolvimento"</formula>
    </cfRule>
    <cfRule type="expression" priority="295" aboveAverage="0" equalAverage="0" bottom="0" percent="0" rank="0" text="" dxfId="8">
      <formula>E13="Em implantacao"</formula>
    </cfRule>
    <cfRule type="expression" priority="296" aboveAverage="0" equalAverage="0" bottom="0" percent="0" rank="0" text="" dxfId="9">
      <formula>E13="Nao iniciado"</formula>
    </cfRule>
  </conditionalFormatting>
  <conditionalFormatting sqref="F13">
    <cfRule type="expression" priority="297" aboveAverage="0" equalAverage="0" bottom="0" percent="0" rank="0" text="" dxfId="7">
      <formula>F13="Implantado"</formula>
    </cfRule>
    <cfRule type="expression" priority="298" aboveAverage="0" equalAverage="0" bottom="0" percent="0" rank="0" text="" dxfId="7">
      <formula>F13="Monitoramento continuo"</formula>
    </cfRule>
    <cfRule type="expression" priority="299" aboveAverage="0" equalAverage="0" bottom="0" percent="0" rank="0" text="" dxfId="8">
      <formula>F13="Em desenvolvimento"</formula>
    </cfRule>
    <cfRule type="expression" priority="300" aboveAverage="0" equalAverage="0" bottom="0" percent="0" rank="0" text="" dxfId="8">
      <formula>F13="Em implantacao"</formula>
    </cfRule>
    <cfRule type="expression" priority="301" aboveAverage="0" equalAverage="0" bottom="0" percent="0" rank="0" text="" dxfId="9">
      <formula>F13="Nao iniciado"</formula>
    </cfRule>
  </conditionalFormatting>
  <conditionalFormatting sqref="G13">
    <cfRule type="expression" priority="302" aboveAverage="0" equalAverage="0" bottom="0" percent="0" rank="0" text="" dxfId="7">
      <formula>G13="Implantado"</formula>
    </cfRule>
    <cfRule type="expression" priority="303" aboveAverage="0" equalAverage="0" bottom="0" percent="0" rank="0" text="" dxfId="7">
      <formula>G13="Monitoramento continuo"</formula>
    </cfRule>
    <cfRule type="expression" priority="304" aboveAverage="0" equalAverage="0" bottom="0" percent="0" rank="0" text="" dxfId="8">
      <formula>G13="Em desenvolvimento"</formula>
    </cfRule>
    <cfRule type="expression" priority="305" aboveAverage="0" equalAverage="0" bottom="0" percent="0" rank="0" text="" dxfId="8">
      <formula>G13="Em implantacao"</formula>
    </cfRule>
    <cfRule type="expression" priority="306" aboveAverage="0" equalAverage="0" bottom="0" percent="0" rank="0" text="" dxfId="9">
      <formula>G13="Nao iniciado"</formula>
    </cfRule>
  </conditionalFormatting>
  <conditionalFormatting sqref="H13">
    <cfRule type="expression" priority="307" aboveAverage="0" equalAverage="0" bottom="0" percent="0" rank="0" text="" dxfId="7">
      <formula>H13="Implantado"</formula>
    </cfRule>
    <cfRule type="expression" priority="308" aboveAverage="0" equalAverage="0" bottom="0" percent="0" rank="0" text="" dxfId="7">
      <formula>H13="Monitoramento continuo"</formula>
    </cfRule>
    <cfRule type="expression" priority="309" aboveAverage="0" equalAverage="0" bottom="0" percent="0" rank="0" text="" dxfId="8">
      <formula>H13="Em desenvolvimento"</formula>
    </cfRule>
    <cfRule type="expression" priority="310" aboveAverage="0" equalAverage="0" bottom="0" percent="0" rank="0" text="" dxfId="8">
      <formula>H13="Em implantacao"</formula>
    </cfRule>
    <cfRule type="expression" priority="311" aboveAverage="0" equalAverage="0" bottom="0" percent="0" rank="0" text="" dxfId="9">
      <formula>H13="Nao iniciado"</formula>
    </cfRule>
  </conditionalFormatting>
  <conditionalFormatting sqref="I13">
    <cfRule type="expression" priority="312" aboveAverage="0" equalAverage="0" bottom="0" percent="0" rank="0" text="" dxfId="7">
      <formula>I13="Implantado"</formula>
    </cfRule>
    <cfRule type="expression" priority="313" aboveAverage="0" equalAverage="0" bottom="0" percent="0" rank="0" text="" dxfId="7">
      <formula>I13="Monitoramento continuo"</formula>
    </cfRule>
    <cfRule type="expression" priority="314" aboveAverage="0" equalAverage="0" bottom="0" percent="0" rank="0" text="" dxfId="8">
      <formula>I13="Em desenvolvimento"</formula>
    </cfRule>
    <cfRule type="expression" priority="315" aboveAverage="0" equalAverage="0" bottom="0" percent="0" rank="0" text="" dxfId="8">
      <formula>I13="Em implantacao"</formula>
    </cfRule>
    <cfRule type="expression" priority="316" aboveAverage="0" equalAverage="0" bottom="0" percent="0" rank="0" text="" dxfId="9">
      <formula>I13="Nao iniciado"</formula>
    </cfRule>
  </conditionalFormatting>
  <conditionalFormatting sqref="J13">
    <cfRule type="expression" priority="317" aboveAverage="0" equalAverage="0" bottom="0" percent="0" rank="0" text="" dxfId="7">
      <formula>J13="Implantado"</formula>
    </cfRule>
    <cfRule type="expression" priority="318" aboveAverage="0" equalAverage="0" bottom="0" percent="0" rank="0" text="" dxfId="7">
      <formula>J13="Monitoramento continuo"</formula>
    </cfRule>
    <cfRule type="expression" priority="319" aboveAverage="0" equalAverage="0" bottom="0" percent="0" rank="0" text="" dxfId="8">
      <formula>J13="Em desenvolvimento"</formula>
    </cfRule>
    <cfRule type="expression" priority="320" aboveAverage="0" equalAverage="0" bottom="0" percent="0" rank="0" text="" dxfId="8">
      <formula>J13="Em implantacao"</formula>
    </cfRule>
    <cfRule type="expression" priority="321" aboveAverage="0" equalAverage="0" bottom="0" percent="0" rank="0" text="" dxfId="9">
      <formula>J13="Nao iniciado"</formula>
    </cfRule>
  </conditionalFormatting>
  <conditionalFormatting sqref="C14">
    <cfRule type="expression" priority="322" aboveAverage="0" equalAverage="0" bottom="0" percent="0" rank="0" text="" dxfId="7">
      <formula>C14="Implantado"</formula>
    </cfRule>
    <cfRule type="expression" priority="323" aboveAverage="0" equalAverage="0" bottom="0" percent="0" rank="0" text="" dxfId="7">
      <formula>C14="Monitoramento continuo"</formula>
    </cfRule>
    <cfRule type="expression" priority="324" aboveAverage="0" equalAverage="0" bottom="0" percent="0" rank="0" text="" dxfId="8">
      <formula>C14="Em desenvolvimento"</formula>
    </cfRule>
    <cfRule type="expression" priority="325" aboveAverage="0" equalAverage="0" bottom="0" percent="0" rank="0" text="" dxfId="8">
      <formula>C14="Em implantacao"</formula>
    </cfRule>
    <cfRule type="expression" priority="326" aboveAverage="0" equalAverage="0" bottom="0" percent="0" rank="0" text="" dxfId="9">
      <formula>C14="Nao iniciado"</formula>
    </cfRule>
  </conditionalFormatting>
  <conditionalFormatting sqref="D14">
    <cfRule type="expression" priority="327" aboveAverage="0" equalAverage="0" bottom="0" percent="0" rank="0" text="" dxfId="7">
      <formula>D14="Implantado"</formula>
    </cfRule>
    <cfRule type="expression" priority="328" aboveAverage="0" equalAverage="0" bottom="0" percent="0" rank="0" text="" dxfId="7">
      <formula>D14="Monitoramento continuo"</formula>
    </cfRule>
    <cfRule type="expression" priority="329" aboveAverage="0" equalAverage="0" bottom="0" percent="0" rank="0" text="" dxfId="8">
      <formula>D14="Em desenvolvimento"</formula>
    </cfRule>
    <cfRule type="expression" priority="330" aboveAverage="0" equalAverage="0" bottom="0" percent="0" rank="0" text="" dxfId="8">
      <formula>D14="Em implantacao"</formula>
    </cfRule>
    <cfRule type="expression" priority="331" aboveAverage="0" equalAverage="0" bottom="0" percent="0" rank="0" text="" dxfId="9">
      <formula>D14="Nao iniciado"</formula>
    </cfRule>
  </conditionalFormatting>
  <conditionalFormatting sqref="E14">
    <cfRule type="expression" priority="332" aboveAverage="0" equalAverage="0" bottom="0" percent="0" rank="0" text="" dxfId="7">
      <formula>E14="Implantado"</formula>
    </cfRule>
    <cfRule type="expression" priority="333" aboveAverage="0" equalAverage="0" bottom="0" percent="0" rank="0" text="" dxfId="7">
      <formula>E14="Monitoramento continuo"</formula>
    </cfRule>
    <cfRule type="expression" priority="334" aboveAverage="0" equalAverage="0" bottom="0" percent="0" rank="0" text="" dxfId="8">
      <formula>E14="Em desenvolvimento"</formula>
    </cfRule>
    <cfRule type="expression" priority="335" aboveAverage="0" equalAverage="0" bottom="0" percent="0" rank="0" text="" dxfId="8">
      <formula>E14="Em implantacao"</formula>
    </cfRule>
    <cfRule type="expression" priority="336" aboveAverage="0" equalAverage="0" bottom="0" percent="0" rank="0" text="" dxfId="9">
      <formula>E14="Nao iniciado"</formula>
    </cfRule>
  </conditionalFormatting>
  <conditionalFormatting sqref="F14">
    <cfRule type="expression" priority="337" aboveAverage="0" equalAverage="0" bottom="0" percent="0" rank="0" text="" dxfId="7">
      <formula>F14="Implantado"</formula>
    </cfRule>
    <cfRule type="expression" priority="338" aboveAverage="0" equalAverage="0" bottom="0" percent="0" rank="0" text="" dxfId="7">
      <formula>F14="Monitoramento continuo"</formula>
    </cfRule>
    <cfRule type="expression" priority="339" aboveAverage="0" equalAverage="0" bottom="0" percent="0" rank="0" text="" dxfId="8">
      <formula>F14="Em desenvolvimento"</formula>
    </cfRule>
    <cfRule type="expression" priority="340" aboveAverage="0" equalAverage="0" bottom="0" percent="0" rank="0" text="" dxfId="8">
      <formula>F14="Em implantacao"</formula>
    </cfRule>
    <cfRule type="expression" priority="341" aboveAverage="0" equalAverage="0" bottom="0" percent="0" rank="0" text="" dxfId="9">
      <formula>F14="Nao iniciado"</formula>
    </cfRule>
  </conditionalFormatting>
  <conditionalFormatting sqref="G14">
    <cfRule type="expression" priority="342" aboveAverage="0" equalAverage="0" bottom="0" percent="0" rank="0" text="" dxfId="7">
      <formula>G14="Implantado"</formula>
    </cfRule>
    <cfRule type="expression" priority="343" aboveAverage="0" equalAverage="0" bottom="0" percent="0" rank="0" text="" dxfId="7">
      <formula>G14="Monitoramento continuo"</formula>
    </cfRule>
    <cfRule type="expression" priority="344" aboveAverage="0" equalAverage="0" bottom="0" percent="0" rank="0" text="" dxfId="8">
      <formula>G14="Em desenvolvimento"</formula>
    </cfRule>
    <cfRule type="expression" priority="345" aboveAverage="0" equalAverage="0" bottom="0" percent="0" rank="0" text="" dxfId="8">
      <formula>G14="Em implantacao"</formula>
    </cfRule>
    <cfRule type="expression" priority="346" aboveAverage="0" equalAverage="0" bottom="0" percent="0" rank="0" text="" dxfId="9">
      <formula>G14="Nao iniciado"</formula>
    </cfRule>
  </conditionalFormatting>
  <conditionalFormatting sqref="H14">
    <cfRule type="expression" priority="347" aboveAverage="0" equalAverage="0" bottom="0" percent="0" rank="0" text="" dxfId="7">
      <formula>H14="Implantado"</formula>
    </cfRule>
    <cfRule type="expression" priority="348" aboveAverage="0" equalAverage="0" bottom="0" percent="0" rank="0" text="" dxfId="7">
      <formula>H14="Monitoramento continuo"</formula>
    </cfRule>
    <cfRule type="expression" priority="349" aboveAverage="0" equalAverage="0" bottom="0" percent="0" rank="0" text="" dxfId="8">
      <formula>H14="Em desenvolvimento"</formula>
    </cfRule>
    <cfRule type="expression" priority="350" aboveAverage="0" equalAverage="0" bottom="0" percent="0" rank="0" text="" dxfId="8">
      <formula>H14="Em implantacao"</formula>
    </cfRule>
    <cfRule type="expression" priority="351" aboveAverage="0" equalAverage="0" bottom="0" percent="0" rank="0" text="" dxfId="9">
      <formula>H14="Nao iniciado"</formula>
    </cfRule>
  </conditionalFormatting>
  <conditionalFormatting sqref="I14">
    <cfRule type="expression" priority="352" aboveAverage="0" equalAverage="0" bottom="0" percent="0" rank="0" text="" dxfId="7">
      <formula>I14="Implantado"</formula>
    </cfRule>
    <cfRule type="expression" priority="353" aboveAverage="0" equalAverage="0" bottom="0" percent="0" rank="0" text="" dxfId="7">
      <formula>I14="Monitoramento continuo"</formula>
    </cfRule>
    <cfRule type="expression" priority="354" aboveAverage="0" equalAverage="0" bottom="0" percent="0" rank="0" text="" dxfId="8">
      <formula>I14="Em desenvolvimento"</formula>
    </cfRule>
    <cfRule type="expression" priority="355" aboveAverage="0" equalAverage="0" bottom="0" percent="0" rank="0" text="" dxfId="8">
      <formula>I14="Em implantacao"</formula>
    </cfRule>
    <cfRule type="expression" priority="356" aboveAverage="0" equalAverage="0" bottom="0" percent="0" rank="0" text="" dxfId="9">
      <formula>I14="Nao iniciado"</formula>
    </cfRule>
  </conditionalFormatting>
  <conditionalFormatting sqref="J14">
    <cfRule type="expression" priority="357" aboveAverage="0" equalAverage="0" bottom="0" percent="0" rank="0" text="" dxfId="7">
      <formula>J14="Implantado"</formula>
    </cfRule>
    <cfRule type="expression" priority="358" aboveAverage="0" equalAverage="0" bottom="0" percent="0" rank="0" text="" dxfId="7">
      <formula>J14="Monitoramento continuo"</formula>
    </cfRule>
    <cfRule type="expression" priority="359" aboveAverage="0" equalAverage="0" bottom="0" percent="0" rank="0" text="" dxfId="8">
      <formula>J14="Em desenvolvimento"</formula>
    </cfRule>
    <cfRule type="expression" priority="360" aboveAverage="0" equalAverage="0" bottom="0" percent="0" rank="0" text="" dxfId="8">
      <formula>J14="Em implantacao"</formula>
    </cfRule>
    <cfRule type="expression" priority="361" aboveAverage="0" equalAverage="0" bottom="0" percent="0" rank="0" text="" dxfId="9">
      <formula>J14="Nao iniciado"</formula>
    </cfRule>
  </conditionalFormatting>
  <conditionalFormatting sqref="C15">
    <cfRule type="expression" priority="362" aboveAverage="0" equalAverage="0" bottom="0" percent="0" rank="0" text="" dxfId="7">
      <formula>C15="Implantado"</formula>
    </cfRule>
    <cfRule type="expression" priority="363" aboveAverage="0" equalAverage="0" bottom="0" percent="0" rank="0" text="" dxfId="7">
      <formula>C15="Monitoramento continuo"</formula>
    </cfRule>
    <cfRule type="expression" priority="364" aboveAverage="0" equalAverage="0" bottom="0" percent="0" rank="0" text="" dxfId="8">
      <formula>C15="Em desenvolvimento"</formula>
    </cfRule>
    <cfRule type="expression" priority="365" aboveAverage="0" equalAverage="0" bottom="0" percent="0" rank="0" text="" dxfId="8">
      <formula>C15="Em implantacao"</formula>
    </cfRule>
    <cfRule type="expression" priority="366" aboveAverage="0" equalAverage="0" bottom="0" percent="0" rank="0" text="" dxfId="9">
      <formula>C15="Nao iniciado"</formula>
    </cfRule>
  </conditionalFormatting>
  <conditionalFormatting sqref="D15">
    <cfRule type="expression" priority="367" aboveAverage="0" equalAverage="0" bottom="0" percent="0" rank="0" text="" dxfId="7">
      <formula>D15="Implantado"</formula>
    </cfRule>
    <cfRule type="expression" priority="368" aboveAverage="0" equalAverage="0" bottom="0" percent="0" rank="0" text="" dxfId="7">
      <formula>D15="Monitoramento continuo"</formula>
    </cfRule>
    <cfRule type="expression" priority="369" aboveAverage="0" equalAverage="0" bottom="0" percent="0" rank="0" text="" dxfId="8">
      <formula>D15="Em desenvolvimento"</formula>
    </cfRule>
    <cfRule type="expression" priority="370" aboveAverage="0" equalAverage="0" bottom="0" percent="0" rank="0" text="" dxfId="8">
      <formula>D15="Em implantacao"</formula>
    </cfRule>
    <cfRule type="expression" priority="371" aboveAverage="0" equalAverage="0" bottom="0" percent="0" rank="0" text="" dxfId="9">
      <formula>D15="Nao iniciado"</formula>
    </cfRule>
  </conditionalFormatting>
  <conditionalFormatting sqref="E15">
    <cfRule type="expression" priority="372" aboveAverage="0" equalAverage="0" bottom="0" percent="0" rank="0" text="" dxfId="7">
      <formula>E15="Implantado"</formula>
    </cfRule>
    <cfRule type="expression" priority="373" aboveAverage="0" equalAverage="0" bottom="0" percent="0" rank="0" text="" dxfId="7">
      <formula>E15="Monitoramento continuo"</formula>
    </cfRule>
    <cfRule type="expression" priority="374" aboveAverage="0" equalAverage="0" bottom="0" percent="0" rank="0" text="" dxfId="8">
      <formula>E15="Em desenvolvimento"</formula>
    </cfRule>
    <cfRule type="expression" priority="375" aboveAverage="0" equalAverage="0" bottom="0" percent="0" rank="0" text="" dxfId="8">
      <formula>E15="Em implantacao"</formula>
    </cfRule>
    <cfRule type="expression" priority="376" aboveAverage="0" equalAverage="0" bottom="0" percent="0" rank="0" text="" dxfId="9">
      <formula>E15="Nao iniciado"</formula>
    </cfRule>
  </conditionalFormatting>
  <conditionalFormatting sqref="F15">
    <cfRule type="expression" priority="377" aboveAverage="0" equalAverage="0" bottom="0" percent="0" rank="0" text="" dxfId="7">
      <formula>F15="Implantado"</formula>
    </cfRule>
    <cfRule type="expression" priority="378" aboveAverage="0" equalAverage="0" bottom="0" percent="0" rank="0" text="" dxfId="7">
      <formula>F15="Monitoramento continuo"</formula>
    </cfRule>
    <cfRule type="expression" priority="379" aboveAverage="0" equalAverage="0" bottom="0" percent="0" rank="0" text="" dxfId="8">
      <formula>F15="Em desenvolvimento"</formula>
    </cfRule>
    <cfRule type="expression" priority="380" aboveAverage="0" equalAverage="0" bottom="0" percent="0" rank="0" text="" dxfId="8">
      <formula>F15="Em implantacao"</formula>
    </cfRule>
    <cfRule type="expression" priority="381" aboveAverage="0" equalAverage="0" bottom="0" percent="0" rank="0" text="" dxfId="9">
      <formula>F15="Nao iniciado"</formula>
    </cfRule>
  </conditionalFormatting>
  <conditionalFormatting sqref="G15">
    <cfRule type="expression" priority="382" aboveAverage="0" equalAverage="0" bottom="0" percent="0" rank="0" text="" dxfId="7">
      <formula>G15="Implantado"</formula>
    </cfRule>
    <cfRule type="expression" priority="383" aboveAverage="0" equalAverage="0" bottom="0" percent="0" rank="0" text="" dxfId="7">
      <formula>G15="Monitoramento continuo"</formula>
    </cfRule>
    <cfRule type="expression" priority="384" aboveAverage="0" equalAverage="0" bottom="0" percent="0" rank="0" text="" dxfId="8">
      <formula>G15="Em desenvolvimento"</formula>
    </cfRule>
    <cfRule type="expression" priority="385" aboveAverage="0" equalAverage="0" bottom="0" percent="0" rank="0" text="" dxfId="8">
      <formula>G15="Em implantacao"</formula>
    </cfRule>
    <cfRule type="expression" priority="386" aboveAverage="0" equalAverage="0" bottom="0" percent="0" rank="0" text="" dxfId="9">
      <formula>G15="Nao iniciado"</formula>
    </cfRule>
  </conditionalFormatting>
  <conditionalFormatting sqref="H15">
    <cfRule type="expression" priority="387" aboveAverage="0" equalAverage="0" bottom="0" percent="0" rank="0" text="" dxfId="7">
      <formula>H15="Implantado"</formula>
    </cfRule>
    <cfRule type="expression" priority="388" aboveAverage="0" equalAverage="0" bottom="0" percent="0" rank="0" text="" dxfId="7">
      <formula>H15="Monitoramento continuo"</formula>
    </cfRule>
    <cfRule type="expression" priority="389" aboveAverage="0" equalAverage="0" bottom="0" percent="0" rank="0" text="" dxfId="8">
      <formula>H15="Em desenvolvimento"</formula>
    </cfRule>
    <cfRule type="expression" priority="390" aboveAverage="0" equalAverage="0" bottom="0" percent="0" rank="0" text="" dxfId="8">
      <formula>H15="Em implantacao"</formula>
    </cfRule>
    <cfRule type="expression" priority="391" aboveAverage="0" equalAverage="0" bottom="0" percent="0" rank="0" text="" dxfId="9">
      <formula>H15="Nao iniciado"</formula>
    </cfRule>
  </conditionalFormatting>
  <conditionalFormatting sqref="I15">
    <cfRule type="expression" priority="392" aboveAverage="0" equalAverage="0" bottom="0" percent="0" rank="0" text="" dxfId="7">
      <formula>I15="Implantado"</formula>
    </cfRule>
    <cfRule type="expression" priority="393" aboveAverage="0" equalAverage="0" bottom="0" percent="0" rank="0" text="" dxfId="7">
      <formula>I15="Monitoramento continuo"</formula>
    </cfRule>
    <cfRule type="expression" priority="394" aboveAverage="0" equalAverage="0" bottom="0" percent="0" rank="0" text="" dxfId="8">
      <formula>I15="Em desenvolvimento"</formula>
    </cfRule>
    <cfRule type="expression" priority="395" aboveAverage="0" equalAverage="0" bottom="0" percent="0" rank="0" text="" dxfId="8">
      <formula>I15="Em implantacao"</formula>
    </cfRule>
    <cfRule type="expression" priority="396" aboveAverage="0" equalAverage="0" bottom="0" percent="0" rank="0" text="" dxfId="9">
      <formula>I15="Nao iniciado"</formula>
    </cfRule>
  </conditionalFormatting>
  <conditionalFormatting sqref="J15">
    <cfRule type="expression" priority="397" aboveAverage="0" equalAverage="0" bottom="0" percent="0" rank="0" text="" dxfId="7">
      <formula>J15="Implantado"</formula>
    </cfRule>
    <cfRule type="expression" priority="398" aboveAverage="0" equalAverage="0" bottom="0" percent="0" rank="0" text="" dxfId="7">
      <formula>J15="Monitoramento continuo"</formula>
    </cfRule>
    <cfRule type="expression" priority="399" aboveAverage="0" equalAverage="0" bottom="0" percent="0" rank="0" text="" dxfId="8">
      <formula>J15="Em desenvolvimento"</formula>
    </cfRule>
    <cfRule type="expression" priority="400" aboveAverage="0" equalAverage="0" bottom="0" percent="0" rank="0" text="" dxfId="8">
      <formula>J15="Em implantacao"</formula>
    </cfRule>
    <cfRule type="expression" priority="401" aboveAverage="0" equalAverage="0" bottom="0" percent="0" rank="0" text="" dxfId="9">
      <formula>J15="Nao iniciado"</formula>
    </cfRule>
  </conditionalFormatting>
  <conditionalFormatting sqref="C17">
    <cfRule type="expression" priority="402" aboveAverage="0" equalAverage="0" bottom="0" percent="0" rank="0" text="" dxfId="7">
      <formula>C17="Implantado"</formula>
    </cfRule>
    <cfRule type="expression" priority="403" aboveAverage="0" equalAverage="0" bottom="0" percent="0" rank="0" text="" dxfId="7">
      <formula>C17="Monitoramento continuo"</formula>
    </cfRule>
    <cfRule type="expression" priority="404" aboveAverage="0" equalAverage="0" bottom="0" percent="0" rank="0" text="" dxfId="8">
      <formula>C17="Em desenvolvimento"</formula>
    </cfRule>
    <cfRule type="expression" priority="405" aboveAverage="0" equalAverage="0" bottom="0" percent="0" rank="0" text="" dxfId="8">
      <formula>C17="Em implantacao"</formula>
    </cfRule>
    <cfRule type="expression" priority="406" aboveAverage="0" equalAverage="0" bottom="0" percent="0" rank="0" text="" dxfId="9">
      <formula>C17="Nao iniciado"</formula>
    </cfRule>
  </conditionalFormatting>
  <conditionalFormatting sqref="D17">
    <cfRule type="expression" priority="407" aboveAverage="0" equalAverage="0" bottom="0" percent="0" rank="0" text="" dxfId="7">
      <formula>D17="Implantado"</formula>
    </cfRule>
    <cfRule type="expression" priority="408" aboveAverage="0" equalAverage="0" bottom="0" percent="0" rank="0" text="" dxfId="7">
      <formula>D17="Monitoramento continuo"</formula>
    </cfRule>
    <cfRule type="expression" priority="409" aboveAverage="0" equalAverage="0" bottom="0" percent="0" rank="0" text="" dxfId="8">
      <formula>D17="Em desenvolvimento"</formula>
    </cfRule>
    <cfRule type="expression" priority="410" aboveAverage="0" equalAverage="0" bottom="0" percent="0" rank="0" text="" dxfId="8">
      <formula>D17="Em implantacao"</formula>
    </cfRule>
    <cfRule type="expression" priority="411" aboveAverage="0" equalAverage="0" bottom="0" percent="0" rank="0" text="" dxfId="9">
      <formula>D17="Nao iniciado"</formula>
    </cfRule>
  </conditionalFormatting>
  <conditionalFormatting sqref="E17">
    <cfRule type="expression" priority="412" aboveAverage="0" equalAverage="0" bottom="0" percent="0" rank="0" text="" dxfId="7">
      <formula>E17="Implantado"</formula>
    </cfRule>
    <cfRule type="expression" priority="413" aboveAverage="0" equalAverage="0" bottom="0" percent="0" rank="0" text="" dxfId="7">
      <formula>E17="Monitoramento continuo"</formula>
    </cfRule>
    <cfRule type="expression" priority="414" aboveAverage="0" equalAverage="0" bottom="0" percent="0" rank="0" text="" dxfId="8">
      <formula>E17="Em desenvolvimento"</formula>
    </cfRule>
    <cfRule type="expression" priority="415" aboveAverage="0" equalAverage="0" bottom="0" percent="0" rank="0" text="" dxfId="8">
      <formula>E17="Em implantacao"</formula>
    </cfRule>
    <cfRule type="expression" priority="416" aboveAverage="0" equalAverage="0" bottom="0" percent="0" rank="0" text="" dxfId="9">
      <formula>E17="Nao iniciado"</formula>
    </cfRule>
  </conditionalFormatting>
  <conditionalFormatting sqref="F17">
    <cfRule type="expression" priority="417" aboveAverage="0" equalAverage="0" bottom="0" percent="0" rank="0" text="" dxfId="7">
      <formula>F17="Implantado"</formula>
    </cfRule>
    <cfRule type="expression" priority="418" aboveAverage="0" equalAverage="0" bottom="0" percent="0" rank="0" text="" dxfId="7">
      <formula>F17="Monitoramento continuo"</formula>
    </cfRule>
    <cfRule type="expression" priority="419" aboveAverage="0" equalAverage="0" bottom="0" percent="0" rank="0" text="" dxfId="8">
      <formula>F17="Em desenvolvimento"</formula>
    </cfRule>
    <cfRule type="expression" priority="420" aboveAverage="0" equalAverage="0" bottom="0" percent="0" rank="0" text="" dxfId="8">
      <formula>F17="Em implantacao"</formula>
    </cfRule>
    <cfRule type="expression" priority="421" aboveAverage="0" equalAverage="0" bottom="0" percent="0" rank="0" text="" dxfId="9">
      <formula>F17="Nao iniciado"</formula>
    </cfRule>
  </conditionalFormatting>
  <conditionalFormatting sqref="G17">
    <cfRule type="expression" priority="422" aboveAverage="0" equalAverage="0" bottom="0" percent="0" rank="0" text="" dxfId="7">
      <formula>G17="Implantado"</formula>
    </cfRule>
    <cfRule type="expression" priority="423" aboveAverage="0" equalAverage="0" bottom="0" percent="0" rank="0" text="" dxfId="7">
      <formula>G17="Monitoramento continuo"</formula>
    </cfRule>
    <cfRule type="expression" priority="424" aboveAverage="0" equalAverage="0" bottom="0" percent="0" rank="0" text="" dxfId="8">
      <formula>G17="Em desenvolvimento"</formula>
    </cfRule>
    <cfRule type="expression" priority="425" aboveAverage="0" equalAverage="0" bottom="0" percent="0" rank="0" text="" dxfId="8">
      <formula>G17="Em implantacao"</formula>
    </cfRule>
    <cfRule type="expression" priority="426" aboveAverage="0" equalAverage="0" bottom="0" percent="0" rank="0" text="" dxfId="9">
      <formula>G17="Nao iniciado"</formula>
    </cfRule>
  </conditionalFormatting>
  <conditionalFormatting sqref="H17">
    <cfRule type="expression" priority="427" aboveAverage="0" equalAverage="0" bottom="0" percent="0" rank="0" text="" dxfId="7">
      <formula>H17="Implantado"</formula>
    </cfRule>
    <cfRule type="expression" priority="428" aboveAverage="0" equalAverage="0" bottom="0" percent="0" rank="0" text="" dxfId="7">
      <formula>H17="Monitoramento continuo"</formula>
    </cfRule>
    <cfRule type="expression" priority="429" aboveAverage="0" equalAverage="0" bottom="0" percent="0" rank="0" text="" dxfId="8">
      <formula>H17="Em desenvolvimento"</formula>
    </cfRule>
    <cfRule type="expression" priority="430" aboveAverage="0" equalAverage="0" bottom="0" percent="0" rank="0" text="" dxfId="8">
      <formula>H17="Em implantacao"</formula>
    </cfRule>
    <cfRule type="expression" priority="431" aboveAverage="0" equalAverage="0" bottom="0" percent="0" rank="0" text="" dxfId="9">
      <formula>H17="Nao iniciado"</formula>
    </cfRule>
  </conditionalFormatting>
  <conditionalFormatting sqref="I17">
    <cfRule type="expression" priority="432" aboveAverage="0" equalAverage="0" bottom="0" percent="0" rank="0" text="" dxfId="7">
      <formula>I17="Implantado"</formula>
    </cfRule>
    <cfRule type="expression" priority="433" aboveAverage="0" equalAverage="0" bottom="0" percent="0" rank="0" text="" dxfId="7">
      <formula>I17="Monitoramento continuo"</formula>
    </cfRule>
    <cfRule type="expression" priority="434" aboveAverage="0" equalAverage="0" bottom="0" percent="0" rank="0" text="" dxfId="8">
      <formula>I17="Em desenvolvimento"</formula>
    </cfRule>
    <cfRule type="expression" priority="435" aboveAverage="0" equalAverage="0" bottom="0" percent="0" rank="0" text="" dxfId="8">
      <formula>I17="Em implantacao"</formula>
    </cfRule>
    <cfRule type="expression" priority="436" aboveAverage="0" equalAverage="0" bottom="0" percent="0" rank="0" text="" dxfId="9">
      <formula>I17="Nao iniciado"</formula>
    </cfRule>
  </conditionalFormatting>
  <conditionalFormatting sqref="J17">
    <cfRule type="expression" priority="437" aboveAverage="0" equalAverage="0" bottom="0" percent="0" rank="0" text="" dxfId="7">
      <formula>J17="Implantado"</formula>
    </cfRule>
    <cfRule type="expression" priority="438" aboveAverage="0" equalAverage="0" bottom="0" percent="0" rank="0" text="" dxfId="7">
      <formula>J17="Monitoramento continuo"</formula>
    </cfRule>
    <cfRule type="expression" priority="439" aboveAverage="0" equalAverage="0" bottom="0" percent="0" rank="0" text="" dxfId="8">
      <formula>J17="Em desenvolvimento"</formula>
    </cfRule>
    <cfRule type="expression" priority="440" aboveAverage="0" equalAverage="0" bottom="0" percent="0" rank="0" text="" dxfId="8">
      <formula>J17="Em implantacao"</formula>
    </cfRule>
    <cfRule type="expression" priority="441" aboveAverage="0" equalAverage="0" bottom="0" percent="0" rank="0" text="" dxfId="9">
      <formula>J17="Nao iniciado"</formula>
    </cfRule>
  </conditionalFormatting>
  <conditionalFormatting sqref="C18">
    <cfRule type="expression" priority="442" aboveAverage="0" equalAverage="0" bottom="0" percent="0" rank="0" text="" dxfId="7">
      <formula>C18="Implantado"</formula>
    </cfRule>
    <cfRule type="expression" priority="443" aboveAverage="0" equalAverage="0" bottom="0" percent="0" rank="0" text="" dxfId="7">
      <formula>C18="Monitoramento continuo"</formula>
    </cfRule>
    <cfRule type="expression" priority="444" aboveAverage="0" equalAverage="0" bottom="0" percent="0" rank="0" text="" dxfId="8">
      <formula>C18="Em desenvolvimento"</formula>
    </cfRule>
    <cfRule type="expression" priority="445" aboveAverage="0" equalAverage="0" bottom="0" percent="0" rank="0" text="" dxfId="8">
      <formula>C18="Em implantacao"</formula>
    </cfRule>
    <cfRule type="expression" priority="446" aboveAverage="0" equalAverage="0" bottom="0" percent="0" rank="0" text="" dxfId="9">
      <formula>C18="Nao iniciado"</formula>
    </cfRule>
  </conditionalFormatting>
  <conditionalFormatting sqref="D18">
    <cfRule type="expression" priority="447" aboveAverage="0" equalAverage="0" bottom="0" percent="0" rank="0" text="" dxfId="7">
      <formula>D18="Implantado"</formula>
    </cfRule>
    <cfRule type="expression" priority="448" aboveAverage="0" equalAverage="0" bottom="0" percent="0" rank="0" text="" dxfId="7">
      <formula>D18="Monitoramento continuo"</formula>
    </cfRule>
    <cfRule type="expression" priority="449" aboveAverage="0" equalAverage="0" bottom="0" percent="0" rank="0" text="" dxfId="8">
      <formula>D18="Em desenvolvimento"</formula>
    </cfRule>
    <cfRule type="expression" priority="450" aboveAverage="0" equalAverage="0" bottom="0" percent="0" rank="0" text="" dxfId="8">
      <formula>D18="Em implantacao"</formula>
    </cfRule>
    <cfRule type="expression" priority="451" aboveAverage="0" equalAverage="0" bottom="0" percent="0" rank="0" text="" dxfId="9">
      <formula>D18="Nao iniciado"</formula>
    </cfRule>
  </conditionalFormatting>
  <conditionalFormatting sqref="E18">
    <cfRule type="expression" priority="452" aboveAverage="0" equalAverage="0" bottom="0" percent="0" rank="0" text="" dxfId="7">
      <formula>E18="Implantado"</formula>
    </cfRule>
    <cfRule type="expression" priority="453" aboveAverage="0" equalAverage="0" bottom="0" percent="0" rank="0" text="" dxfId="7">
      <formula>E18="Monitoramento continuo"</formula>
    </cfRule>
    <cfRule type="expression" priority="454" aboveAverage="0" equalAverage="0" bottom="0" percent="0" rank="0" text="" dxfId="8">
      <formula>E18="Em desenvolvimento"</formula>
    </cfRule>
    <cfRule type="expression" priority="455" aboveAverage="0" equalAverage="0" bottom="0" percent="0" rank="0" text="" dxfId="8">
      <formula>E18="Em implantacao"</formula>
    </cfRule>
    <cfRule type="expression" priority="456" aboveAverage="0" equalAverage="0" bottom="0" percent="0" rank="0" text="" dxfId="9">
      <formula>E18="Nao iniciado"</formula>
    </cfRule>
  </conditionalFormatting>
  <conditionalFormatting sqref="F18">
    <cfRule type="expression" priority="457" aboveAverage="0" equalAverage="0" bottom="0" percent="0" rank="0" text="" dxfId="7">
      <formula>F18="Implantado"</formula>
    </cfRule>
    <cfRule type="expression" priority="458" aboveAverage="0" equalAverage="0" bottom="0" percent="0" rank="0" text="" dxfId="7">
      <formula>F18="Monitoramento continuo"</formula>
    </cfRule>
    <cfRule type="expression" priority="459" aboveAverage="0" equalAverage="0" bottom="0" percent="0" rank="0" text="" dxfId="8">
      <formula>F18="Em desenvolvimento"</formula>
    </cfRule>
    <cfRule type="expression" priority="460" aboveAverage="0" equalAverage="0" bottom="0" percent="0" rank="0" text="" dxfId="8">
      <formula>F18="Em implantacao"</formula>
    </cfRule>
    <cfRule type="expression" priority="461" aboveAverage="0" equalAverage="0" bottom="0" percent="0" rank="0" text="" dxfId="9">
      <formula>F18="Nao iniciado"</formula>
    </cfRule>
  </conditionalFormatting>
  <conditionalFormatting sqref="G18">
    <cfRule type="expression" priority="462" aboveAverage="0" equalAverage="0" bottom="0" percent="0" rank="0" text="" dxfId="7">
      <formula>G18="Implantado"</formula>
    </cfRule>
    <cfRule type="expression" priority="463" aboveAverage="0" equalAverage="0" bottom="0" percent="0" rank="0" text="" dxfId="7">
      <formula>G18="Monitoramento continuo"</formula>
    </cfRule>
    <cfRule type="expression" priority="464" aboveAverage="0" equalAverage="0" bottom="0" percent="0" rank="0" text="" dxfId="8">
      <formula>G18="Em desenvolvimento"</formula>
    </cfRule>
    <cfRule type="expression" priority="465" aboveAverage="0" equalAverage="0" bottom="0" percent="0" rank="0" text="" dxfId="8">
      <formula>G18="Em implantacao"</formula>
    </cfRule>
    <cfRule type="expression" priority="466" aboveAverage="0" equalAverage="0" bottom="0" percent="0" rank="0" text="" dxfId="9">
      <formula>G18="Nao iniciado"</formula>
    </cfRule>
  </conditionalFormatting>
  <conditionalFormatting sqref="H18">
    <cfRule type="expression" priority="467" aboveAverage="0" equalAverage="0" bottom="0" percent="0" rank="0" text="" dxfId="7">
      <formula>H18="Implantado"</formula>
    </cfRule>
    <cfRule type="expression" priority="468" aboveAverage="0" equalAverage="0" bottom="0" percent="0" rank="0" text="" dxfId="7">
      <formula>H18="Monitoramento continuo"</formula>
    </cfRule>
    <cfRule type="expression" priority="469" aboveAverage="0" equalAverage="0" bottom="0" percent="0" rank="0" text="" dxfId="8">
      <formula>H18="Em desenvolvimento"</formula>
    </cfRule>
    <cfRule type="expression" priority="470" aboveAverage="0" equalAverage="0" bottom="0" percent="0" rank="0" text="" dxfId="8">
      <formula>H18="Em implantacao"</formula>
    </cfRule>
    <cfRule type="expression" priority="471" aboveAverage="0" equalAverage="0" bottom="0" percent="0" rank="0" text="" dxfId="9">
      <formula>H18="Nao iniciado"</formula>
    </cfRule>
  </conditionalFormatting>
  <conditionalFormatting sqref="I18">
    <cfRule type="expression" priority="472" aboveAverage="0" equalAverage="0" bottom="0" percent="0" rank="0" text="" dxfId="7">
      <formula>I18="Implantado"</formula>
    </cfRule>
    <cfRule type="expression" priority="473" aboveAverage="0" equalAverage="0" bottom="0" percent="0" rank="0" text="" dxfId="7">
      <formula>I18="Monitoramento continuo"</formula>
    </cfRule>
    <cfRule type="expression" priority="474" aboveAverage="0" equalAverage="0" bottom="0" percent="0" rank="0" text="" dxfId="8">
      <formula>I18="Em desenvolvimento"</formula>
    </cfRule>
    <cfRule type="expression" priority="475" aboveAverage="0" equalAverage="0" bottom="0" percent="0" rank="0" text="" dxfId="8">
      <formula>I18="Em implantacao"</formula>
    </cfRule>
    <cfRule type="expression" priority="476" aboveAverage="0" equalAverage="0" bottom="0" percent="0" rank="0" text="" dxfId="9">
      <formula>I18="Nao iniciado"</formula>
    </cfRule>
  </conditionalFormatting>
  <conditionalFormatting sqref="J18">
    <cfRule type="expression" priority="477" aboveAverage="0" equalAverage="0" bottom="0" percent="0" rank="0" text="" dxfId="7">
      <formula>J18="Implantado"</formula>
    </cfRule>
    <cfRule type="expression" priority="478" aboveAverage="0" equalAverage="0" bottom="0" percent="0" rank="0" text="" dxfId="7">
      <formula>J18="Monitoramento continuo"</formula>
    </cfRule>
    <cfRule type="expression" priority="479" aboveAverage="0" equalAverage="0" bottom="0" percent="0" rank="0" text="" dxfId="8">
      <formula>J18="Em desenvolvimento"</formula>
    </cfRule>
    <cfRule type="expression" priority="480" aboveAverage="0" equalAverage="0" bottom="0" percent="0" rank="0" text="" dxfId="8">
      <formula>J18="Em implantacao"</formula>
    </cfRule>
    <cfRule type="expression" priority="481" aboveAverage="0" equalAverage="0" bottom="0" percent="0" rank="0" text="" dxfId="9">
      <formula>J18="Nao iniciado"</formula>
    </cfRule>
  </conditionalFormatting>
  <conditionalFormatting sqref="C19">
    <cfRule type="expression" priority="482" aboveAverage="0" equalAverage="0" bottom="0" percent="0" rank="0" text="" dxfId="7">
      <formula>C19="Implantado"</formula>
    </cfRule>
    <cfRule type="expression" priority="483" aboveAverage="0" equalAverage="0" bottom="0" percent="0" rank="0" text="" dxfId="7">
      <formula>C19="Monitoramento continuo"</formula>
    </cfRule>
    <cfRule type="expression" priority="484" aboveAverage="0" equalAverage="0" bottom="0" percent="0" rank="0" text="" dxfId="8">
      <formula>C19="Em desenvolvimento"</formula>
    </cfRule>
    <cfRule type="expression" priority="485" aboveAverage="0" equalAverage="0" bottom="0" percent="0" rank="0" text="" dxfId="8">
      <formula>C19="Em implantacao"</formula>
    </cfRule>
    <cfRule type="expression" priority="486" aboveAverage="0" equalAverage="0" bottom="0" percent="0" rank="0" text="" dxfId="9">
      <formula>C19="Nao iniciado"</formula>
    </cfRule>
  </conditionalFormatting>
  <conditionalFormatting sqref="D19">
    <cfRule type="expression" priority="487" aboveAverage="0" equalAverage="0" bottom="0" percent="0" rank="0" text="" dxfId="7">
      <formula>D19="Implantado"</formula>
    </cfRule>
    <cfRule type="expression" priority="488" aboveAverage="0" equalAverage="0" bottom="0" percent="0" rank="0" text="" dxfId="7">
      <formula>D19="Monitoramento continuo"</formula>
    </cfRule>
    <cfRule type="expression" priority="489" aboveAverage="0" equalAverage="0" bottom="0" percent="0" rank="0" text="" dxfId="8">
      <formula>D19="Em desenvolvimento"</formula>
    </cfRule>
    <cfRule type="expression" priority="490" aboveAverage="0" equalAverage="0" bottom="0" percent="0" rank="0" text="" dxfId="8">
      <formula>D19="Em implantacao"</formula>
    </cfRule>
    <cfRule type="expression" priority="491" aboveAverage="0" equalAverage="0" bottom="0" percent="0" rank="0" text="" dxfId="9">
      <formula>D19="Nao iniciado"</formula>
    </cfRule>
  </conditionalFormatting>
  <conditionalFormatting sqref="E19">
    <cfRule type="expression" priority="492" aboveAverage="0" equalAverage="0" bottom="0" percent="0" rank="0" text="" dxfId="7">
      <formula>E19="Implantado"</formula>
    </cfRule>
    <cfRule type="expression" priority="493" aboveAverage="0" equalAverage="0" bottom="0" percent="0" rank="0" text="" dxfId="7">
      <formula>E19="Monitoramento continuo"</formula>
    </cfRule>
    <cfRule type="expression" priority="494" aboveAverage="0" equalAverage="0" bottom="0" percent="0" rank="0" text="" dxfId="8">
      <formula>E19="Em desenvolvimento"</formula>
    </cfRule>
    <cfRule type="expression" priority="495" aboveAverage="0" equalAverage="0" bottom="0" percent="0" rank="0" text="" dxfId="8">
      <formula>E19="Em implantacao"</formula>
    </cfRule>
    <cfRule type="expression" priority="496" aboveAverage="0" equalAverage="0" bottom="0" percent="0" rank="0" text="" dxfId="9">
      <formula>E19="Nao iniciado"</formula>
    </cfRule>
  </conditionalFormatting>
  <conditionalFormatting sqref="F19">
    <cfRule type="expression" priority="497" aboveAverage="0" equalAverage="0" bottom="0" percent="0" rank="0" text="" dxfId="7">
      <formula>F19="Implantado"</formula>
    </cfRule>
    <cfRule type="expression" priority="498" aboveAverage="0" equalAverage="0" bottom="0" percent="0" rank="0" text="" dxfId="7">
      <formula>F19="Monitoramento continuo"</formula>
    </cfRule>
    <cfRule type="expression" priority="499" aboveAverage="0" equalAverage="0" bottom="0" percent="0" rank="0" text="" dxfId="8">
      <formula>F19="Em desenvolvimento"</formula>
    </cfRule>
    <cfRule type="expression" priority="500" aboveAverage="0" equalAverage="0" bottom="0" percent="0" rank="0" text="" dxfId="8">
      <formula>F19="Em implantacao"</formula>
    </cfRule>
    <cfRule type="expression" priority="501" aboveAverage="0" equalAverage="0" bottom="0" percent="0" rank="0" text="" dxfId="9">
      <formula>F19="Nao iniciado"</formula>
    </cfRule>
  </conditionalFormatting>
  <conditionalFormatting sqref="G19">
    <cfRule type="expression" priority="502" aboveAverage="0" equalAverage="0" bottom="0" percent="0" rank="0" text="" dxfId="7">
      <formula>G19="Implantado"</formula>
    </cfRule>
    <cfRule type="expression" priority="503" aboveAverage="0" equalAverage="0" bottom="0" percent="0" rank="0" text="" dxfId="7">
      <formula>G19="Monitoramento continuo"</formula>
    </cfRule>
    <cfRule type="expression" priority="504" aboveAverage="0" equalAverage="0" bottom="0" percent="0" rank="0" text="" dxfId="8">
      <formula>G19="Em desenvolvimento"</formula>
    </cfRule>
    <cfRule type="expression" priority="505" aboveAverage="0" equalAverage="0" bottom="0" percent="0" rank="0" text="" dxfId="8">
      <formula>G19="Em implantacao"</formula>
    </cfRule>
    <cfRule type="expression" priority="506" aboveAverage="0" equalAverage="0" bottom="0" percent="0" rank="0" text="" dxfId="9">
      <formula>G19="Nao iniciado"</formula>
    </cfRule>
  </conditionalFormatting>
  <conditionalFormatting sqref="H19">
    <cfRule type="expression" priority="507" aboveAverage="0" equalAverage="0" bottom="0" percent="0" rank="0" text="" dxfId="7">
      <formula>H19="Implantado"</formula>
    </cfRule>
    <cfRule type="expression" priority="508" aboveAverage="0" equalAverage="0" bottom="0" percent="0" rank="0" text="" dxfId="7">
      <formula>H19="Monitoramento continuo"</formula>
    </cfRule>
    <cfRule type="expression" priority="509" aboveAverage="0" equalAverage="0" bottom="0" percent="0" rank="0" text="" dxfId="8">
      <formula>H19="Em desenvolvimento"</formula>
    </cfRule>
    <cfRule type="expression" priority="510" aboveAverage="0" equalAverage="0" bottom="0" percent="0" rank="0" text="" dxfId="8">
      <formula>H19="Em implantacao"</formula>
    </cfRule>
    <cfRule type="expression" priority="511" aboveAverage="0" equalAverage="0" bottom="0" percent="0" rank="0" text="" dxfId="9">
      <formula>H19="Nao iniciado"</formula>
    </cfRule>
  </conditionalFormatting>
  <conditionalFormatting sqref="I19">
    <cfRule type="expression" priority="512" aboveAverage="0" equalAverage="0" bottom="0" percent="0" rank="0" text="" dxfId="7">
      <formula>I19="Implantado"</formula>
    </cfRule>
    <cfRule type="expression" priority="513" aboveAverage="0" equalAverage="0" bottom="0" percent="0" rank="0" text="" dxfId="7">
      <formula>I19="Monitoramento continuo"</formula>
    </cfRule>
    <cfRule type="expression" priority="514" aboveAverage="0" equalAverage="0" bottom="0" percent="0" rank="0" text="" dxfId="8">
      <formula>I19="Em desenvolvimento"</formula>
    </cfRule>
    <cfRule type="expression" priority="515" aboveAverage="0" equalAverage="0" bottom="0" percent="0" rank="0" text="" dxfId="8">
      <formula>I19="Em implantacao"</formula>
    </cfRule>
    <cfRule type="expression" priority="516" aboveAverage="0" equalAverage="0" bottom="0" percent="0" rank="0" text="" dxfId="9">
      <formula>I19="Nao iniciado"</formula>
    </cfRule>
  </conditionalFormatting>
  <conditionalFormatting sqref="J19">
    <cfRule type="expression" priority="517" aboveAverage="0" equalAverage="0" bottom="0" percent="0" rank="0" text="" dxfId="7">
      <formula>J19="Implantado"</formula>
    </cfRule>
    <cfRule type="expression" priority="518" aboveAverage="0" equalAverage="0" bottom="0" percent="0" rank="0" text="" dxfId="7">
      <formula>J19="Monitoramento continuo"</formula>
    </cfRule>
    <cfRule type="expression" priority="519" aboveAverage="0" equalAverage="0" bottom="0" percent="0" rank="0" text="" dxfId="8">
      <formula>J19="Em desenvolvimento"</formula>
    </cfRule>
    <cfRule type="expression" priority="520" aboveAverage="0" equalAverage="0" bottom="0" percent="0" rank="0" text="" dxfId="8">
      <formula>J19="Em implantacao"</formula>
    </cfRule>
    <cfRule type="expression" priority="521" aboveAverage="0" equalAverage="0" bottom="0" percent="0" rank="0" text="" dxfId="9">
      <formula>J19="Nao iniciado"</formula>
    </cfRule>
  </conditionalFormatting>
  <conditionalFormatting sqref="C20">
    <cfRule type="expression" priority="522" aboveAverage="0" equalAverage="0" bottom="0" percent="0" rank="0" text="" dxfId="7">
      <formula>C20="Implantado"</formula>
    </cfRule>
    <cfRule type="expression" priority="523" aboveAverage="0" equalAverage="0" bottom="0" percent="0" rank="0" text="" dxfId="7">
      <formula>C20="Monitoramento continuo"</formula>
    </cfRule>
    <cfRule type="expression" priority="524" aboveAverage="0" equalAverage="0" bottom="0" percent="0" rank="0" text="" dxfId="8">
      <formula>C20="Em desenvolvimento"</formula>
    </cfRule>
    <cfRule type="expression" priority="525" aboveAverage="0" equalAverage="0" bottom="0" percent="0" rank="0" text="" dxfId="8">
      <formula>C20="Em implantacao"</formula>
    </cfRule>
    <cfRule type="expression" priority="526" aboveAverage="0" equalAverage="0" bottom="0" percent="0" rank="0" text="" dxfId="9">
      <formula>C20="Nao iniciado"</formula>
    </cfRule>
  </conditionalFormatting>
  <conditionalFormatting sqref="D20">
    <cfRule type="expression" priority="527" aboveAverage="0" equalAverage="0" bottom="0" percent="0" rank="0" text="" dxfId="7">
      <formula>D20="Implantado"</formula>
    </cfRule>
    <cfRule type="expression" priority="528" aboveAverage="0" equalAverage="0" bottom="0" percent="0" rank="0" text="" dxfId="7">
      <formula>D20="Monitoramento continuo"</formula>
    </cfRule>
    <cfRule type="expression" priority="529" aboveAverage="0" equalAverage="0" bottom="0" percent="0" rank="0" text="" dxfId="8">
      <formula>D20="Em desenvolvimento"</formula>
    </cfRule>
    <cfRule type="expression" priority="530" aboveAverage="0" equalAverage="0" bottom="0" percent="0" rank="0" text="" dxfId="8">
      <formula>D20="Em implantacao"</formula>
    </cfRule>
    <cfRule type="expression" priority="531" aboveAverage="0" equalAverage="0" bottom="0" percent="0" rank="0" text="" dxfId="9">
      <formula>D20="Nao iniciado"</formula>
    </cfRule>
  </conditionalFormatting>
  <conditionalFormatting sqref="E20">
    <cfRule type="expression" priority="532" aboveAverage="0" equalAverage="0" bottom="0" percent="0" rank="0" text="" dxfId="7">
      <formula>E20="Implantado"</formula>
    </cfRule>
    <cfRule type="expression" priority="533" aboveAverage="0" equalAverage="0" bottom="0" percent="0" rank="0" text="" dxfId="7">
      <formula>E20="Monitoramento continuo"</formula>
    </cfRule>
    <cfRule type="expression" priority="534" aboveAverage="0" equalAverage="0" bottom="0" percent="0" rank="0" text="" dxfId="8">
      <formula>E20="Em desenvolvimento"</formula>
    </cfRule>
    <cfRule type="expression" priority="535" aboveAverage="0" equalAverage="0" bottom="0" percent="0" rank="0" text="" dxfId="8">
      <formula>E20="Em implantacao"</formula>
    </cfRule>
    <cfRule type="expression" priority="536" aboveAverage="0" equalAverage="0" bottom="0" percent="0" rank="0" text="" dxfId="9">
      <formula>E20="Nao iniciado"</formula>
    </cfRule>
  </conditionalFormatting>
  <conditionalFormatting sqref="F20">
    <cfRule type="expression" priority="537" aboveAverage="0" equalAverage="0" bottom="0" percent="0" rank="0" text="" dxfId="7">
      <formula>F20="Implantado"</formula>
    </cfRule>
    <cfRule type="expression" priority="538" aboveAverage="0" equalAverage="0" bottom="0" percent="0" rank="0" text="" dxfId="7">
      <formula>F20="Monitoramento continuo"</formula>
    </cfRule>
    <cfRule type="expression" priority="539" aboveAverage="0" equalAverage="0" bottom="0" percent="0" rank="0" text="" dxfId="8">
      <formula>F20="Em desenvolvimento"</formula>
    </cfRule>
    <cfRule type="expression" priority="540" aboveAverage="0" equalAverage="0" bottom="0" percent="0" rank="0" text="" dxfId="8">
      <formula>F20="Em implantacao"</formula>
    </cfRule>
    <cfRule type="expression" priority="541" aboveAverage="0" equalAverage="0" bottom="0" percent="0" rank="0" text="" dxfId="9">
      <formula>F20="Nao iniciado"</formula>
    </cfRule>
  </conditionalFormatting>
  <conditionalFormatting sqref="G20">
    <cfRule type="expression" priority="542" aboveAverage="0" equalAverage="0" bottom="0" percent="0" rank="0" text="" dxfId="7">
      <formula>G20="Implantado"</formula>
    </cfRule>
    <cfRule type="expression" priority="543" aboveAverage="0" equalAverage="0" bottom="0" percent="0" rank="0" text="" dxfId="7">
      <formula>G20="Monitoramento continuo"</formula>
    </cfRule>
    <cfRule type="expression" priority="544" aboveAverage="0" equalAverage="0" bottom="0" percent="0" rank="0" text="" dxfId="8">
      <formula>G20="Em desenvolvimento"</formula>
    </cfRule>
    <cfRule type="expression" priority="545" aboveAverage="0" equalAverage="0" bottom="0" percent="0" rank="0" text="" dxfId="8">
      <formula>G20="Em implantacao"</formula>
    </cfRule>
    <cfRule type="expression" priority="546" aboveAverage="0" equalAverage="0" bottom="0" percent="0" rank="0" text="" dxfId="9">
      <formula>G20="Nao iniciado"</formula>
    </cfRule>
  </conditionalFormatting>
  <conditionalFormatting sqref="H20">
    <cfRule type="expression" priority="547" aboveAverage="0" equalAverage="0" bottom="0" percent="0" rank="0" text="" dxfId="7">
      <formula>H20="Implantado"</formula>
    </cfRule>
    <cfRule type="expression" priority="548" aboveAverage="0" equalAverage="0" bottom="0" percent="0" rank="0" text="" dxfId="7">
      <formula>H20="Monitoramento continuo"</formula>
    </cfRule>
    <cfRule type="expression" priority="549" aboveAverage="0" equalAverage="0" bottom="0" percent="0" rank="0" text="" dxfId="8">
      <formula>H20="Em desenvolvimento"</formula>
    </cfRule>
    <cfRule type="expression" priority="550" aboveAverage="0" equalAverage="0" bottom="0" percent="0" rank="0" text="" dxfId="8">
      <formula>H20="Em implantacao"</formula>
    </cfRule>
    <cfRule type="expression" priority="551" aboveAverage="0" equalAverage="0" bottom="0" percent="0" rank="0" text="" dxfId="9">
      <formula>H20="Nao iniciado"</formula>
    </cfRule>
  </conditionalFormatting>
  <conditionalFormatting sqref="I20">
    <cfRule type="expression" priority="552" aboveAverage="0" equalAverage="0" bottom="0" percent="0" rank="0" text="" dxfId="7">
      <formula>I20="Implantado"</formula>
    </cfRule>
    <cfRule type="expression" priority="553" aboveAverage="0" equalAverage="0" bottom="0" percent="0" rank="0" text="" dxfId="7">
      <formula>I20="Monitoramento continuo"</formula>
    </cfRule>
    <cfRule type="expression" priority="554" aboveAverage="0" equalAverage="0" bottom="0" percent="0" rank="0" text="" dxfId="8">
      <formula>I20="Em desenvolvimento"</formula>
    </cfRule>
    <cfRule type="expression" priority="555" aboveAverage="0" equalAverage="0" bottom="0" percent="0" rank="0" text="" dxfId="8">
      <formula>I20="Em implantacao"</formula>
    </cfRule>
    <cfRule type="expression" priority="556" aboveAverage="0" equalAverage="0" bottom="0" percent="0" rank="0" text="" dxfId="9">
      <formula>I20="Nao iniciado"</formula>
    </cfRule>
  </conditionalFormatting>
  <conditionalFormatting sqref="J20">
    <cfRule type="expression" priority="557" aboveAverage="0" equalAverage="0" bottom="0" percent="0" rank="0" text="" dxfId="7">
      <formula>J20="Implantado"</formula>
    </cfRule>
    <cfRule type="expression" priority="558" aboveAverage="0" equalAverage="0" bottom="0" percent="0" rank="0" text="" dxfId="7">
      <formula>J20="Monitoramento continuo"</formula>
    </cfRule>
    <cfRule type="expression" priority="559" aboveAverage="0" equalAverage="0" bottom="0" percent="0" rank="0" text="" dxfId="8">
      <formula>J20="Em desenvolvimento"</formula>
    </cfRule>
    <cfRule type="expression" priority="560" aboveAverage="0" equalAverage="0" bottom="0" percent="0" rank="0" text="" dxfId="8">
      <formula>J20="Em implantacao"</formula>
    </cfRule>
    <cfRule type="expression" priority="561" aboveAverage="0" equalAverage="0" bottom="0" percent="0" rank="0" text="" dxfId="9">
      <formula>J20="Nao iniciado"</formula>
    </cfRule>
  </conditionalFormatting>
  <conditionalFormatting sqref="C21">
    <cfRule type="expression" priority="562" aboveAverage="0" equalAverage="0" bottom="0" percent="0" rank="0" text="" dxfId="7">
      <formula>C21="Implantado"</formula>
    </cfRule>
    <cfRule type="expression" priority="563" aboveAverage="0" equalAverage="0" bottom="0" percent="0" rank="0" text="" dxfId="7">
      <formula>C21="Monitoramento continuo"</formula>
    </cfRule>
    <cfRule type="expression" priority="564" aboveAverage="0" equalAverage="0" bottom="0" percent="0" rank="0" text="" dxfId="8">
      <formula>C21="Em desenvolvimento"</formula>
    </cfRule>
    <cfRule type="expression" priority="565" aboveAverage="0" equalAverage="0" bottom="0" percent="0" rank="0" text="" dxfId="8">
      <formula>C21="Em implantacao"</formula>
    </cfRule>
    <cfRule type="expression" priority="566" aboveAverage="0" equalAverage="0" bottom="0" percent="0" rank="0" text="" dxfId="9">
      <formula>C21="Nao iniciado"</formula>
    </cfRule>
  </conditionalFormatting>
  <conditionalFormatting sqref="D21">
    <cfRule type="expression" priority="567" aboveAverage="0" equalAverage="0" bottom="0" percent="0" rank="0" text="" dxfId="7">
      <formula>D21="Implantado"</formula>
    </cfRule>
    <cfRule type="expression" priority="568" aboveAverage="0" equalAverage="0" bottom="0" percent="0" rank="0" text="" dxfId="7">
      <formula>D21="Monitoramento continuo"</formula>
    </cfRule>
    <cfRule type="expression" priority="569" aboveAverage="0" equalAverage="0" bottom="0" percent="0" rank="0" text="" dxfId="8">
      <formula>D21="Em desenvolvimento"</formula>
    </cfRule>
    <cfRule type="expression" priority="570" aboveAverage="0" equalAverage="0" bottom="0" percent="0" rank="0" text="" dxfId="8">
      <formula>D21="Em implantacao"</formula>
    </cfRule>
    <cfRule type="expression" priority="571" aboveAverage="0" equalAverage="0" bottom="0" percent="0" rank="0" text="" dxfId="9">
      <formula>D21="Nao iniciado"</formula>
    </cfRule>
  </conditionalFormatting>
  <conditionalFormatting sqref="E21">
    <cfRule type="expression" priority="572" aboveAverage="0" equalAverage="0" bottom="0" percent="0" rank="0" text="" dxfId="7">
      <formula>E21="Implantado"</formula>
    </cfRule>
    <cfRule type="expression" priority="573" aboveAverage="0" equalAverage="0" bottom="0" percent="0" rank="0" text="" dxfId="7">
      <formula>E21="Monitoramento continuo"</formula>
    </cfRule>
    <cfRule type="expression" priority="574" aboveAverage="0" equalAverage="0" bottom="0" percent="0" rank="0" text="" dxfId="8">
      <formula>E21="Em desenvolvimento"</formula>
    </cfRule>
    <cfRule type="expression" priority="575" aboveAverage="0" equalAverage="0" bottom="0" percent="0" rank="0" text="" dxfId="8">
      <formula>E21="Em implantacao"</formula>
    </cfRule>
    <cfRule type="expression" priority="576" aboveAverage="0" equalAverage="0" bottom="0" percent="0" rank="0" text="" dxfId="9">
      <formula>E21="Nao iniciado"</formula>
    </cfRule>
  </conditionalFormatting>
  <conditionalFormatting sqref="F21">
    <cfRule type="expression" priority="577" aboveAverage="0" equalAverage="0" bottom="0" percent="0" rank="0" text="" dxfId="7">
      <formula>F21="Implantado"</formula>
    </cfRule>
    <cfRule type="expression" priority="578" aboveAverage="0" equalAverage="0" bottom="0" percent="0" rank="0" text="" dxfId="7">
      <formula>F21="Monitoramento continuo"</formula>
    </cfRule>
    <cfRule type="expression" priority="579" aboveAverage="0" equalAverage="0" bottom="0" percent="0" rank="0" text="" dxfId="8">
      <formula>F21="Em desenvolvimento"</formula>
    </cfRule>
    <cfRule type="expression" priority="580" aboveAverage="0" equalAverage="0" bottom="0" percent="0" rank="0" text="" dxfId="8">
      <formula>F21="Em implantacao"</formula>
    </cfRule>
    <cfRule type="expression" priority="581" aboveAverage="0" equalAverage="0" bottom="0" percent="0" rank="0" text="" dxfId="9">
      <formula>F21="Nao iniciado"</formula>
    </cfRule>
  </conditionalFormatting>
  <conditionalFormatting sqref="G21">
    <cfRule type="expression" priority="582" aboveAverage="0" equalAverage="0" bottom="0" percent="0" rank="0" text="" dxfId="7">
      <formula>G21="Implantado"</formula>
    </cfRule>
    <cfRule type="expression" priority="583" aboveAverage="0" equalAverage="0" bottom="0" percent="0" rank="0" text="" dxfId="7">
      <formula>G21="Monitoramento continuo"</formula>
    </cfRule>
    <cfRule type="expression" priority="584" aboveAverage="0" equalAverage="0" bottom="0" percent="0" rank="0" text="" dxfId="8">
      <formula>G21="Em desenvolvimento"</formula>
    </cfRule>
    <cfRule type="expression" priority="585" aboveAverage="0" equalAverage="0" bottom="0" percent="0" rank="0" text="" dxfId="8">
      <formula>G21="Em implantacao"</formula>
    </cfRule>
    <cfRule type="expression" priority="586" aboveAverage="0" equalAverage="0" bottom="0" percent="0" rank="0" text="" dxfId="9">
      <formula>G21="Nao iniciado"</formula>
    </cfRule>
  </conditionalFormatting>
  <conditionalFormatting sqref="H21">
    <cfRule type="expression" priority="587" aboveAverage="0" equalAverage="0" bottom="0" percent="0" rank="0" text="" dxfId="7">
      <formula>H21="Implantado"</formula>
    </cfRule>
    <cfRule type="expression" priority="588" aboveAverage="0" equalAverage="0" bottom="0" percent="0" rank="0" text="" dxfId="7">
      <formula>H21="Monitoramento continuo"</formula>
    </cfRule>
    <cfRule type="expression" priority="589" aboveAverage="0" equalAverage="0" bottom="0" percent="0" rank="0" text="" dxfId="8">
      <formula>H21="Em desenvolvimento"</formula>
    </cfRule>
    <cfRule type="expression" priority="590" aboveAverage="0" equalAverage="0" bottom="0" percent="0" rank="0" text="" dxfId="8">
      <formula>H21="Em implantacao"</formula>
    </cfRule>
    <cfRule type="expression" priority="591" aboveAverage="0" equalAverage="0" bottom="0" percent="0" rank="0" text="" dxfId="9">
      <formula>H21="Nao iniciado"</formula>
    </cfRule>
  </conditionalFormatting>
  <conditionalFormatting sqref="I21">
    <cfRule type="expression" priority="592" aboveAverage="0" equalAverage="0" bottom="0" percent="0" rank="0" text="" dxfId="7">
      <formula>I21="Implantado"</formula>
    </cfRule>
    <cfRule type="expression" priority="593" aboveAverage="0" equalAverage="0" bottom="0" percent="0" rank="0" text="" dxfId="7">
      <formula>I21="Monitoramento continuo"</formula>
    </cfRule>
    <cfRule type="expression" priority="594" aboveAverage="0" equalAverage="0" bottom="0" percent="0" rank="0" text="" dxfId="8">
      <formula>I21="Em desenvolvimento"</formula>
    </cfRule>
    <cfRule type="expression" priority="595" aboveAverage="0" equalAverage="0" bottom="0" percent="0" rank="0" text="" dxfId="8">
      <formula>I21="Em implantacao"</formula>
    </cfRule>
    <cfRule type="expression" priority="596" aboveAverage="0" equalAverage="0" bottom="0" percent="0" rank="0" text="" dxfId="9">
      <formula>I21="Nao iniciado"</formula>
    </cfRule>
  </conditionalFormatting>
  <conditionalFormatting sqref="J21">
    <cfRule type="expression" priority="597" aboveAverage="0" equalAverage="0" bottom="0" percent="0" rank="0" text="" dxfId="7">
      <formula>J21="Implantado"</formula>
    </cfRule>
    <cfRule type="expression" priority="598" aboveAverage="0" equalAverage="0" bottom="0" percent="0" rank="0" text="" dxfId="7">
      <formula>J21="Monitoramento continuo"</formula>
    </cfRule>
    <cfRule type="expression" priority="599" aboveAverage="0" equalAverage="0" bottom="0" percent="0" rank="0" text="" dxfId="8">
      <formula>J21="Em desenvolvimento"</formula>
    </cfRule>
    <cfRule type="expression" priority="600" aboveAverage="0" equalAverage="0" bottom="0" percent="0" rank="0" text="" dxfId="8">
      <formula>J21="Em implantacao"</formula>
    </cfRule>
    <cfRule type="expression" priority="601" aboveAverage="0" equalAverage="0" bottom="0" percent="0" rank="0" text="" dxfId="9">
      <formula>J21="Nao iniciado"</formula>
    </cfRule>
  </conditionalFormatting>
  <dataValidations count="120">
    <dataValidation allowBlank="false" error="Selecione uma opção válida" errorStyle="stop" errorTitle="Valor inválido" operator="between" prompt="Selecione o status atual" promptTitle="Status" showDropDown="false" showErrorMessage="false" showInputMessage="false" sqref="C5" type="list">
      <formula1>"Não iniciado,Em desenvolvimento,Concluído – falha no preparo da alta,Concluído – condição clínica mal controlada,Concluído – outros fatores,Monitoramento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5" type="list">
      <formula1>"Não iniciado,Em desenvolvimento,Concluído – falha no preparo da alta,Concluído – condição clínica mal controlada,Concluído – outros fatores,Monitoramento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5" type="list">
      <formula1>"Não iniciado,Em desenvolvimento,Concluído – falha no preparo da alta,Concluído – condição clínica mal controlada,Concluído – outros fatores,Monitoramento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5" type="list">
      <formula1>"Não iniciado,Em desenvolvimento,Concluído – falha no preparo da alta,Concluído – condição clínica mal controlada,Concluído – outros fatores,Monitoramento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5" type="list">
      <formula1>"Não iniciado,Em desenvolvimento,Concluído – falha no preparo da alta,Concluído – condição clínica mal controlada,Concluído – outros fatores,Monitoramento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5" type="list">
      <formula1>"Não iniciado,Em desenvolvimento,Concluído – falha no preparo da alta,Concluído – condição clínica mal controlada,Concluído – outros fatores,Monitoramento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5" type="list">
      <formula1>"Não iniciado,Em desenvolvimento,Concluído – falha no preparo da alta,Concluído – condição clínica mal controlada,Concluído – outros fatores,Monitoramento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5" type="list">
      <formula1>"Não iniciado,Em desenvolvimento,Concluído – falha no preparo da alta,Concluído – condição clínica mal controlada,Concluído – outros fatores,Monitoramento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6" type="list">
      <formula1>"Não iniciado,Em desenvolvimento,Gargalo: espera por leito,Gargalo: espera por exame,Gargalo: atendimento médico,Monitoramento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6" type="list">
      <formula1>"Não iniciado,Em desenvolvimento,Gargalo: espera por leito,Gargalo: espera por exame,Gargalo: atendimento médico,Monitoramento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6" type="list">
      <formula1>"Não iniciado,Em desenvolvimento,Gargalo: espera por leito,Gargalo: espera por exame,Gargalo: atendimento médico,Monitoramento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6" type="list">
      <formula1>"Não iniciado,Em desenvolvimento,Gargalo: espera por leito,Gargalo: espera por exame,Gargalo: atendimento médico,Monitoramento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6" type="list">
      <formula1>"Não iniciado,Em desenvolvimento,Gargalo: espera por leito,Gargalo: espera por exame,Gargalo: atendimento médico,Monitoramento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6" type="list">
      <formula1>"Não iniciado,Em desenvolvimento,Gargalo: espera por leito,Gargalo: espera por exame,Gargalo: atendimento médico,Monitoramento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6" type="list">
      <formula1>"Não iniciado,Em desenvolvimento,Gargalo: espera por leito,Gargalo: espera por exame,Gargalo: atendimento médico,Monitoramento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6" type="list">
      <formula1>"Não iniciado,Em desenvolvimento,Gargalo: espera por leito,Gargalo: espera por exame,Gargalo: atendimento médico,Monitoramento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7" type="list">
      <formula1>"Não iniciado,Em desenvolvimento,Setores críticos identificados,Plano de ação em execução,Monitoramento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7" type="list">
      <formula1>"Não iniciado,Em desenvolvimento,Setores críticos identificados,Plano de ação em execução,Monitoramento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7" type="list">
      <formula1>"Não iniciado,Em desenvolvimento,Setores críticos identificados,Plano de ação em execução,Monitoramento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7" type="list">
      <formula1>"Não iniciado,Em desenvolvimento,Setores críticos identificados,Plano de ação em execução,Monitoramento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7" type="list">
      <formula1>"Não iniciado,Em desenvolvimento,Setores críticos identificados,Plano de ação em execução,Monitoramento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7" type="list">
      <formula1>"Não iniciado,Em desenvolvimento,Setores críticos identificados,Plano de ação em execução,Monitoramento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7" type="list">
      <formula1>"Não iniciado,Em desenvolvimento,Setores críticos identificados,Plano de ação em execução,Monitoramento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7" type="list">
      <formula1>"Não iniciado,Em desenvolvimento,Setores críticos identificados,Plano de ação em execução,Monitoramento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8" type="list">
      <formula1>"Não iniciado,Auditoria em andamento,Correlação: sem impacto sig.,Correlação: impacto confirmado,Monitoramento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8" type="list">
      <formula1>"Não iniciado,Auditoria em andamento,Correlação: sem impacto sig.,Correlação: impacto confirmado,Monitoramento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8" type="list">
      <formula1>"Não iniciado,Auditoria em andamento,Correlação: sem impacto sig.,Correlação: impacto confirmado,Monitoramento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8" type="list">
      <formula1>"Não iniciado,Auditoria em andamento,Correlação: sem impacto sig.,Correlação: impacto confirmado,Monitoramento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8" type="list">
      <formula1>"Não iniciado,Auditoria em andamento,Correlação: sem impacto sig.,Correlação: impacto confirmado,Monitoramento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8" type="list">
      <formula1>"Não iniciado,Auditoria em andamento,Correlação: sem impacto sig.,Correlação: impacto confirmado,Monitoramento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8" type="list">
      <formula1>"Não iniciado,Auditoria em andamento,Correlação: sem impacto sig.,Correlação: impacto confirmado,Monitoramento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8" type="list">
      <formula1>"Não iniciado,Auditoria em andamento,Correlação: sem impacto sig.,Correlação: impacto confirmado,Monitoramento contínuo"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10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10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10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10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10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10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10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10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11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11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11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11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11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11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11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11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12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12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12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12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12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12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12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12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13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13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13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13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13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13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13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13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14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14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14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14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14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14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14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14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15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15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15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15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15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15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15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15" type="list">
      <formula1>"Não iniciado,Dados em coleta,Em desenvolvimento,Em validação,Implantado"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17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17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17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17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17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17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17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17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18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18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18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18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18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18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18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18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19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19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19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19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19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19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19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19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20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20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20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20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20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20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20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20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C21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D21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E21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F21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G21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H21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I21" type="list">
      <formula1>"Não iniciado,Processo manual em revisão,Protocolo definido,Em implantação,Implantado"</formula1>
      <formula2>0</formula2>
    </dataValidation>
    <dataValidation allowBlank="false" error="Selecione uma opção válida" errorStyle="stop" errorTitle="Valor inválido" operator="between" prompt="Selecione o status atual" promptTitle="Status" showDropDown="false" showErrorMessage="false" showInputMessage="false" sqref="J21" type="list">
      <formula1>"Não iniciado,Processo manual em revisão,Protocolo definido,Em implantação,Implantado"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2026-06-02T15:52:32Z</dcterms:created>
  <dc:creator>openpyxl</dc:creator>
  <dc:description/>
  <dc:language>en-US</dc:language>
  <cp:lastModifiedBy/>
  <dcterms:modified xsi:type="dcterms:W3CDTF">2026-06-02T15:52:32Z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